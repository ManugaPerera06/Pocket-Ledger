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cket-Ledger\"/>
    </mc:Choice>
  </mc:AlternateContent>
  <xr:revisionPtr revIDLastSave="0" documentId="13_ncr:1_{705D29F4-9BB5-43FA-B2C3-69B879D8B947}" xr6:coauthVersionLast="47" xr6:coauthVersionMax="47" xr10:uidLastSave="{00000000-0000-0000-0000-000000000000}"/>
  <bookViews>
    <workbookView xWindow="-108" yWindow="-108" windowWidth="23256" windowHeight="12456" activeTab="1" xr2:uid="{94A676D0-2D39-4622-9A00-93AC5031AEDD}"/>
  </bookViews>
  <sheets>
    <sheet name="2023" sheetId="3" r:id="rId1"/>
    <sheet name="2024" sheetId="6" r:id="rId2"/>
    <sheet name="2025" sheetId="7" r:id="rId3"/>
    <sheet name="2026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7" i="8" l="1"/>
  <c r="E105" i="8"/>
  <c r="E102" i="8"/>
  <c r="E99" i="8"/>
  <c r="E95" i="8"/>
  <c r="E93" i="8"/>
  <c r="E89" i="8"/>
  <c r="E87" i="8"/>
  <c r="E83" i="8"/>
  <c r="E80" i="8"/>
  <c r="E78" i="8"/>
  <c r="E75" i="8"/>
  <c r="E73" i="8"/>
  <c r="E70" i="8"/>
  <c r="E67" i="8"/>
  <c r="E64" i="8"/>
  <c r="E62" i="8"/>
  <c r="E59" i="8"/>
  <c r="E57" i="8"/>
  <c r="E54" i="8"/>
  <c r="E52" i="8"/>
  <c r="E49" i="8"/>
  <c r="E46" i="8"/>
  <c r="E43" i="8"/>
  <c r="E40" i="8"/>
  <c r="E37" i="8"/>
  <c r="E34" i="8"/>
  <c r="E31" i="8"/>
  <c r="E28" i="8"/>
  <c r="E26" i="8"/>
  <c r="E24" i="8"/>
  <c r="E21" i="8"/>
  <c r="E16" i="8"/>
  <c r="E14" i="8"/>
  <c r="E11" i="8"/>
  <c r="E6" i="8"/>
  <c r="R147" i="7"/>
  <c r="R115" i="7"/>
  <c r="R86" i="7"/>
  <c r="R146" i="6"/>
  <c r="H151" i="6"/>
  <c r="J152" i="7"/>
  <c r="H154" i="7" s="1"/>
  <c r="H148" i="6"/>
  <c r="H151" i="7"/>
  <c r="P147" i="7"/>
  <c r="N147" i="7"/>
  <c r="P136" i="7"/>
  <c r="N136" i="7"/>
  <c r="P126" i="7"/>
  <c r="N126" i="7"/>
  <c r="L145" i="7"/>
  <c r="L142" i="7"/>
  <c r="L139" i="7"/>
  <c r="L137" i="7"/>
  <c r="L135" i="7"/>
  <c r="L133" i="7"/>
  <c r="L130" i="7"/>
  <c r="L128" i="7"/>
  <c r="L125" i="7"/>
  <c r="L122" i="7"/>
  <c r="L119" i="7"/>
  <c r="L116" i="7"/>
  <c r="P115" i="7"/>
  <c r="N115" i="7"/>
  <c r="L114" i="7"/>
  <c r="L112" i="7"/>
  <c r="L107" i="7"/>
  <c r="L105" i="7"/>
  <c r="P104" i="7"/>
  <c r="N104" i="7"/>
  <c r="L101" i="7"/>
  <c r="L98" i="7"/>
  <c r="P96" i="7"/>
  <c r="N96" i="7"/>
  <c r="L96" i="7"/>
  <c r="L93" i="7"/>
  <c r="L91" i="7"/>
  <c r="L89" i="7"/>
  <c r="N86" i="7"/>
  <c r="P86" i="7"/>
  <c r="L86" i="7"/>
  <c r="L84" i="7"/>
  <c r="L80" i="7"/>
  <c r="L78" i="7"/>
  <c r="L75" i="7"/>
  <c r="L70" i="7"/>
  <c r="P73" i="7" s="1"/>
  <c r="N73" i="7"/>
  <c r="L67" i="7"/>
  <c r="L63" i="7"/>
  <c r="P57" i="7"/>
  <c r="N57" i="7"/>
  <c r="P40" i="7"/>
  <c r="N40" i="7"/>
  <c r="L55" i="7"/>
  <c r="L52" i="7"/>
  <c r="L48" i="7"/>
  <c r="L43" i="7"/>
  <c r="L39" i="7"/>
  <c r="L36" i="7"/>
  <c r="N27" i="7"/>
  <c r="L34" i="7"/>
  <c r="L31" i="7"/>
  <c r="L29" i="7"/>
  <c r="L24" i="7"/>
  <c r="L21" i="7"/>
  <c r="L19" i="7"/>
  <c r="N16" i="7"/>
  <c r="N153" i="7" s="1"/>
  <c r="L16" i="7"/>
  <c r="L12" i="7"/>
  <c r="L9" i="7"/>
  <c r="L6" i="7"/>
  <c r="N150" i="6"/>
  <c r="P150" i="6"/>
  <c r="P146" i="6"/>
  <c r="N146" i="6"/>
  <c r="R108" i="6"/>
  <c r="J149" i="6"/>
  <c r="L146" i="6"/>
  <c r="P132" i="6"/>
  <c r="N132" i="6"/>
  <c r="L142" i="6"/>
  <c r="L138" i="6"/>
  <c r="L133" i="6"/>
  <c r="L129" i="6"/>
  <c r="L125" i="6"/>
  <c r="P119" i="6"/>
  <c r="L123" i="6"/>
  <c r="N108" i="6"/>
  <c r="N119" i="6"/>
  <c r="P108" i="6"/>
  <c r="L120" i="6"/>
  <c r="L118" i="6"/>
  <c r="L116" i="6"/>
  <c r="L113" i="6"/>
  <c r="L110" i="6"/>
  <c r="L107" i="6"/>
  <c r="L105" i="6"/>
  <c r="L102" i="6"/>
  <c r="L100" i="6"/>
  <c r="N96" i="6"/>
  <c r="L96" i="6"/>
  <c r="L94" i="6"/>
  <c r="L91" i="6"/>
  <c r="L88" i="6"/>
  <c r="N82" i="6"/>
  <c r="L84" i="6"/>
  <c r="P96" i="6" s="1"/>
  <c r="L80" i="6"/>
  <c r="L78" i="6"/>
  <c r="L75" i="6"/>
  <c r="P82" i="6" s="1"/>
  <c r="N73" i="6"/>
  <c r="L73" i="6"/>
  <c r="L69" i="6"/>
  <c r="N63" i="6"/>
  <c r="L65" i="6"/>
  <c r="P73" i="6" s="1"/>
  <c r="L62" i="6"/>
  <c r="L59" i="6"/>
  <c r="L57" i="6"/>
  <c r="P63" i="6" s="1"/>
  <c r="N55" i="6"/>
  <c r="H53" i="6"/>
  <c r="L55" i="6" s="1"/>
  <c r="L50" i="6"/>
  <c r="L47" i="6"/>
  <c r="P27" i="7" l="1"/>
  <c r="P16" i="7"/>
  <c r="P55" i="6"/>
  <c r="R73" i="6" s="1"/>
  <c r="N43" i="6"/>
  <c r="L43" i="6"/>
  <c r="R40" i="7" l="1"/>
  <c r="P153" i="7"/>
  <c r="L40" i="6"/>
  <c r="L37" i="6" l="1"/>
  <c r="L33" i="6" l="1"/>
  <c r="N27" i="6" l="1"/>
  <c r="L29" i="6"/>
  <c r="P43" i="6" s="1"/>
  <c r="L25" i="6" l="1"/>
  <c r="L22" i="6" l="1"/>
  <c r="L19" i="6" l="1"/>
  <c r="N14" i="6" l="1"/>
  <c r="K106" i="3"/>
  <c r="K69" i="3"/>
  <c r="L16" i="6"/>
  <c r="P27" i="6" s="1"/>
  <c r="L13" i="6" l="1"/>
  <c r="L10" i="6" l="1"/>
  <c r="P14" i="6" s="1"/>
  <c r="R43" i="6" s="1"/>
  <c r="H109" i="3" l="1"/>
  <c r="H108" i="3"/>
  <c r="J104" i="3"/>
  <c r="K93" i="3"/>
  <c r="K86" i="3"/>
  <c r="M106" i="3" s="1"/>
  <c r="K77" i="3"/>
  <c r="M77" i="3"/>
  <c r="H111" i="3" l="1"/>
  <c r="J100" i="3"/>
  <c r="J88" i="3" l="1"/>
  <c r="J86" i="3"/>
  <c r="J84" i="3"/>
  <c r="J81" i="3"/>
  <c r="J78" i="3"/>
  <c r="J92" i="3"/>
  <c r="J95" i="3"/>
  <c r="J76" i="3"/>
  <c r="J75" i="3"/>
  <c r="J72" i="3"/>
  <c r="J71" i="3"/>
  <c r="J63" i="3"/>
  <c r="J60" i="3"/>
  <c r="J57" i="3"/>
  <c r="J55" i="3" l="1"/>
  <c r="J53" i="3"/>
  <c r="K52" i="3"/>
  <c r="J50" i="3"/>
  <c r="J48" i="3"/>
  <c r="J47" i="3"/>
  <c r="J45" i="3"/>
  <c r="J43" i="3"/>
  <c r="K42" i="3"/>
  <c r="J41" i="3"/>
  <c r="J40" i="3"/>
  <c r="J38" i="3"/>
  <c r="J36" i="3"/>
  <c r="J32" i="3"/>
  <c r="J27" i="3"/>
  <c r="K35" i="3"/>
  <c r="K25" i="3"/>
  <c r="J21" i="3"/>
  <c r="K19" i="3"/>
  <c r="J17" i="3"/>
  <c r="J15" i="3"/>
  <c r="K11" i="3"/>
  <c r="J4" i="3"/>
  <c r="K109" i="3" l="1"/>
  <c r="M25" i="3"/>
  <c r="M52" i="3"/>
</calcChain>
</file>

<file path=xl/sharedStrings.xml><?xml version="1.0" encoding="utf-8"?>
<sst xmlns="http://schemas.openxmlformats.org/spreadsheetml/2006/main" count="1110" uniqueCount="668">
  <si>
    <t>Date</t>
  </si>
  <si>
    <t>Details</t>
  </si>
  <si>
    <t xml:space="preserve"> Cash Book 2023</t>
  </si>
  <si>
    <t>Amount (Rs.)</t>
  </si>
  <si>
    <t>07.01.23</t>
  </si>
  <si>
    <t>Received from Music sir/clz</t>
  </si>
  <si>
    <t>Received to get home from Sinhala clz</t>
  </si>
  <si>
    <t>08.01.23</t>
  </si>
  <si>
    <t>Received from thaththa</t>
  </si>
  <si>
    <t>11.01.23</t>
  </si>
  <si>
    <t xml:space="preserve">Recideved from amma </t>
  </si>
  <si>
    <t>13.01.23</t>
  </si>
  <si>
    <t>Received from amma (300-200 3wheel)</t>
  </si>
  <si>
    <t>Recideved from amma (To go to Maths clz)-100</t>
  </si>
  <si>
    <t>21.01.23</t>
  </si>
  <si>
    <t>Received from Manmitha</t>
  </si>
  <si>
    <t>January</t>
  </si>
  <si>
    <t>03.02.23</t>
  </si>
  <si>
    <t>Received from amma</t>
  </si>
  <si>
    <t>15.02.23</t>
  </si>
  <si>
    <t>20.02.23</t>
  </si>
  <si>
    <t>Received from amma/get from purse</t>
  </si>
  <si>
    <t>26.02.23</t>
  </si>
  <si>
    <t>27.02.23</t>
  </si>
  <si>
    <t>Received from amma(200-100)</t>
  </si>
  <si>
    <t>Received balance from Music sir</t>
  </si>
  <si>
    <t>28.02.23</t>
  </si>
  <si>
    <t>Received from amma(200-100/3wheel)</t>
  </si>
  <si>
    <t>February</t>
  </si>
  <si>
    <t>01.03.23</t>
  </si>
  <si>
    <t>Received from amma(300-100/3wheel)</t>
  </si>
  <si>
    <t>03.03.23</t>
  </si>
  <si>
    <t>From Youth Semina</t>
  </si>
  <si>
    <t>19.03.23</t>
  </si>
  <si>
    <t>21.03.23</t>
  </si>
  <si>
    <t>31.03.23</t>
  </si>
  <si>
    <t>04.04.23</t>
  </si>
  <si>
    <t>March</t>
  </si>
  <si>
    <t>1st quarter</t>
  </si>
  <si>
    <t>06.04.23</t>
  </si>
  <si>
    <t>10.04.23</t>
  </si>
  <si>
    <t>Balance after getting from ISM</t>
  </si>
  <si>
    <t>15.04.23</t>
  </si>
  <si>
    <t>Received from Ranjith seeya for new year</t>
  </si>
  <si>
    <t>18.04.23</t>
  </si>
  <si>
    <t>19.04.23</t>
  </si>
  <si>
    <t>24.04.23</t>
  </si>
  <si>
    <t>26.04.23</t>
  </si>
  <si>
    <t>Balance after getting from Commerce clz (Income of the day)</t>
  </si>
  <si>
    <t>03.05.23</t>
  </si>
  <si>
    <t>April</t>
  </si>
  <si>
    <t>Balance after getting from Youth semina</t>
  </si>
  <si>
    <t>10.05.23</t>
  </si>
  <si>
    <t>11.05.23</t>
  </si>
  <si>
    <t>Balance after getting from Sakya &amp; Commerce clz</t>
  </si>
  <si>
    <t>19.05.23</t>
  </si>
  <si>
    <t>Balance after getting from school</t>
  </si>
  <si>
    <t>Balance after getting from Commerce clz</t>
  </si>
  <si>
    <t>May</t>
  </si>
  <si>
    <t>08.06.23</t>
  </si>
  <si>
    <t>09.06.23</t>
  </si>
  <si>
    <t>After getting from school</t>
  </si>
  <si>
    <t>15.06.23</t>
  </si>
  <si>
    <t>Balance after getting from clz</t>
  </si>
  <si>
    <t>22.06.23</t>
  </si>
  <si>
    <t>25.06.23</t>
  </si>
  <si>
    <t>Received from pol katu</t>
  </si>
  <si>
    <t>29.06.23</t>
  </si>
  <si>
    <t>Balance after getting from ICT clz</t>
  </si>
  <si>
    <t>Balance</t>
  </si>
  <si>
    <t>June</t>
  </si>
  <si>
    <t>2nd quarter</t>
  </si>
  <si>
    <t>06.07.23</t>
  </si>
  <si>
    <t>07.07.23</t>
  </si>
  <si>
    <t>09.07.23</t>
  </si>
  <si>
    <t>Received from achchi amma</t>
  </si>
  <si>
    <t>10.07.23</t>
  </si>
  <si>
    <t>Got from my purse</t>
  </si>
  <si>
    <t>Got for go to Youth Semina</t>
  </si>
  <si>
    <t>Got for go to school</t>
  </si>
  <si>
    <t>Got for go to Maths clz</t>
  </si>
  <si>
    <t xml:space="preserve">Got extra for go to ISM </t>
  </si>
  <si>
    <t>Got for go to Commerce clz (-200)</t>
  </si>
  <si>
    <t>Got for go to Sinhala clz (Data card)</t>
  </si>
  <si>
    <t>Balance after getting from Commerce clz, got from my purse</t>
  </si>
  <si>
    <t>Got for go to Youth ICT semina</t>
  </si>
  <si>
    <t>Got for go to Sakya</t>
  </si>
  <si>
    <t>Got for go to ICT clz (Sakya)</t>
  </si>
  <si>
    <t>Got bread for make Garlic bread</t>
  </si>
  <si>
    <t>Got for go to ICT clz (Sakya)  (-300)</t>
  </si>
  <si>
    <t>Got for go to Econ clz</t>
  </si>
  <si>
    <t>13.07.23</t>
  </si>
  <si>
    <t>Balance from 3 classes (3 days)</t>
  </si>
  <si>
    <t>16.07.23</t>
  </si>
  <si>
    <t>Gave to amma to cut malli's hair</t>
  </si>
  <si>
    <t>20.07.23</t>
  </si>
  <si>
    <t>Got for go to ICT clz</t>
  </si>
  <si>
    <t>22.07.23</t>
  </si>
  <si>
    <t>Got a data card</t>
  </si>
  <si>
    <t>24.07.23</t>
  </si>
  <si>
    <t>Got for go to Accounting clz</t>
  </si>
  <si>
    <t>25.07.23</t>
  </si>
  <si>
    <t>Balance from 2 classes</t>
  </si>
  <si>
    <t>28.07.23</t>
  </si>
  <si>
    <t>Got for go to UCL Rajagiriya</t>
  </si>
  <si>
    <t>31.07.23</t>
  </si>
  <si>
    <t>06.09.23</t>
  </si>
  <si>
    <t>Paid malli's loan (biggest loss😒)</t>
  </si>
  <si>
    <t>20.09.23</t>
  </si>
  <si>
    <t>Got for go to IIT</t>
  </si>
  <si>
    <t>22.09.23</t>
  </si>
  <si>
    <t>24.09.23</t>
  </si>
  <si>
    <t>Got for buy Intermediate English book</t>
  </si>
  <si>
    <t>25.09.23</t>
  </si>
  <si>
    <t>27.09.23</t>
  </si>
  <si>
    <t>July</t>
  </si>
  <si>
    <t>September</t>
  </si>
  <si>
    <t>3rd quarter</t>
  </si>
  <si>
    <t>02.10.23</t>
  </si>
  <si>
    <t>03.10.23</t>
  </si>
  <si>
    <t>Got for take my photo (for IIT ID)</t>
  </si>
  <si>
    <t>06.10.23</t>
  </si>
  <si>
    <t>Balance of the week</t>
  </si>
  <si>
    <t>09.10.23</t>
  </si>
  <si>
    <t>16.10.23</t>
  </si>
  <si>
    <t>20.10.23</t>
  </si>
  <si>
    <t>22.10.23</t>
  </si>
  <si>
    <t>26.10.23</t>
  </si>
  <si>
    <t>30.10.23</t>
  </si>
  <si>
    <t>October</t>
  </si>
  <si>
    <t>03.11.23</t>
  </si>
  <si>
    <t>08.11.23</t>
  </si>
  <si>
    <t>10.11.23</t>
  </si>
  <si>
    <t>Got for go to Dinath's b'day party</t>
  </si>
  <si>
    <t>11.11.23</t>
  </si>
  <si>
    <t>13.11.23</t>
  </si>
  <si>
    <t>20.11.23</t>
  </si>
  <si>
    <t>24.11.23</t>
  </si>
  <si>
    <t>01.12.23</t>
  </si>
  <si>
    <t>November</t>
  </si>
  <si>
    <t>04.12.23</t>
  </si>
  <si>
    <t>05.12.23</t>
  </si>
  <si>
    <t>Got for go to ISM</t>
  </si>
  <si>
    <t>07.12.23</t>
  </si>
  <si>
    <t>21.12.23</t>
  </si>
  <si>
    <t>22.12.23</t>
  </si>
  <si>
    <t>Whole balance</t>
  </si>
  <si>
    <t>😀</t>
  </si>
  <si>
    <t>😄</t>
  </si>
  <si>
    <t>😭</t>
  </si>
  <si>
    <t>Got for go to Havelock City Mall after the finales</t>
  </si>
  <si>
    <t>26.12.23</t>
  </si>
  <si>
    <t>Received from Upali seeya (balance)</t>
  </si>
  <si>
    <t>Received/got from amma (balance)</t>
  </si>
  <si>
    <t>29.12.23</t>
  </si>
  <si>
    <t>31.12.23</t>
  </si>
  <si>
    <t>Received from achchi amma for m' b'day (Dec 7)</t>
  </si>
  <si>
    <t>Received from loku amma's parents for m' OL's (Dec 9)</t>
  </si>
  <si>
    <t>Received from Upali seeya for m' OL acheivment (Dec 16)</t>
  </si>
  <si>
    <t>December</t>
  </si>
  <si>
    <t>4th quarter</t>
  </si>
  <si>
    <t>😂</t>
  </si>
  <si>
    <t>All Incomes</t>
  </si>
  <si>
    <t>All Expenditures</t>
  </si>
  <si>
    <t>Sum of all months</t>
  </si>
  <si>
    <t>Year Profit</t>
  </si>
  <si>
    <t>Cash Book 2024</t>
  </si>
  <si>
    <t>Incomes (Rs.)</t>
  </si>
  <si>
    <t>Expenditures (Rs.)</t>
  </si>
  <si>
    <t>02.01.24</t>
  </si>
  <si>
    <t>Got for go to OGF &amp; Port City</t>
  </si>
  <si>
    <t>06.01.24</t>
  </si>
  <si>
    <t>Got the balance of string hoppers from amma</t>
  </si>
  <si>
    <t>09.01.24</t>
  </si>
  <si>
    <t>Received from bothal pattara</t>
  </si>
  <si>
    <t>14.01.24</t>
  </si>
  <si>
    <t>15.01.24</t>
  </si>
  <si>
    <t>17.01.24</t>
  </si>
  <si>
    <t>19.01.24</t>
  </si>
  <si>
    <t>Profit of the week</t>
  </si>
  <si>
    <t>22.01.24</t>
  </si>
  <si>
    <t>24.01.24</t>
  </si>
  <si>
    <t>Got for go to IIT (Extra)</t>
  </si>
  <si>
    <t>26.01.24</t>
  </si>
  <si>
    <t>28.01.24</t>
  </si>
  <si>
    <t>01.02.24</t>
  </si>
  <si>
    <t>Got for go to Nugegoda</t>
  </si>
  <si>
    <t>Got extra (due to going to Abhinav's place)</t>
  </si>
  <si>
    <t>02.02.24</t>
  </si>
  <si>
    <t>05.02.24</t>
  </si>
  <si>
    <t>09.02.24</t>
  </si>
  <si>
    <t>Got for buy a gift to amma</t>
  </si>
  <si>
    <t>12.02.24</t>
  </si>
  <si>
    <t>16.02.24</t>
  </si>
  <si>
    <t>Got extra (due to going to Spencer building)</t>
  </si>
  <si>
    <t>Loss of the week😒</t>
  </si>
  <si>
    <t>19.02.24</t>
  </si>
  <si>
    <t>21.02.24</t>
  </si>
  <si>
    <t>Got extra</t>
  </si>
  <si>
    <t>22.02.24</t>
  </si>
  <si>
    <t>25.02.24</t>
  </si>
  <si>
    <t>Gave to malli for buy an omlet bun</t>
  </si>
  <si>
    <t>26.02.24</t>
  </si>
  <si>
    <t>02.03.24</t>
  </si>
  <si>
    <t>Got for go to big match</t>
  </si>
  <si>
    <t>03.03.24</t>
  </si>
  <si>
    <t>04.03.24</t>
  </si>
  <si>
    <t>07.03.24</t>
  </si>
  <si>
    <t>Recived from achchi amma</t>
  </si>
  <si>
    <t>Recived from Upali seeya</t>
  </si>
  <si>
    <t>08.03.24</t>
  </si>
  <si>
    <t>Profit of the week😄</t>
  </si>
  <si>
    <t>09.03.24</t>
  </si>
  <si>
    <t>Got for buy a coconut</t>
  </si>
  <si>
    <t>11.03.24</t>
  </si>
  <si>
    <t>15.03.24</t>
  </si>
  <si>
    <t>16.03.24</t>
  </si>
  <si>
    <t>18.03.24</t>
  </si>
  <si>
    <t>21.03.24</t>
  </si>
  <si>
    <t>Got for give to Onitha(Figma)</t>
  </si>
  <si>
    <t>25.03.24</t>
  </si>
  <si>
    <t>Balance of the last week</t>
  </si>
  <si>
    <t>Loss of the week😭</t>
  </si>
  <si>
    <t>27.03.24</t>
  </si>
  <si>
    <t>28.03.24</t>
  </si>
  <si>
    <t>30.03.24</t>
  </si>
  <si>
    <t>Nothing😐</t>
  </si>
  <si>
    <t>February weekly</t>
  </si>
  <si>
    <t>February daily</t>
  </si>
  <si>
    <t>January daily</t>
  </si>
  <si>
    <t>January weekly</t>
  </si>
  <si>
    <t>March daily</t>
  </si>
  <si>
    <t>March weekly</t>
  </si>
  <si>
    <t>01.04.24</t>
  </si>
  <si>
    <t>02.04.24</t>
  </si>
  <si>
    <t>06.04.24</t>
  </si>
  <si>
    <t>Got for go to OGF</t>
  </si>
  <si>
    <t>10.04.24</t>
  </si>
  <si>
    <t>Got for buy two chocolates</t>
  </si>
  <si>
    <t>14.04.24</t>
  </si>
  <si>
    <t>1st Quarter</t>
  </si>
  <si>
    <t>Profit of the week😊</t>
  </si>
  <si>
    <t>27.04.24</t>
  </si>
  <si>
    <t>Received from mahappa</t>
  </si>
  <si>
    <t>Bought 2 egg roties</t>
  </si>
  <si>
    <t>28.04.24</t>
  </si>
  <si>
    <t>Got for go to Havelock city mall</t>
  </si>
  <si>
    <t>30.04.24</t>
  </si>
  <si>
    <t>Loss of the last week😭</t>
  </si>
  <si>
    <t>April daily</t>
  </si>
  <si>
    <t>April weekly</t>
  </si>
  <si>
    <t>03.05.24</t>
  </si>
  <si>
    <t>05.05.24</t>
  </si>
  <si>
    <t>11.05.24</t>
  </si>
  <si>
    <t>Received from Upali seeya</t>
  </si>
  <si>
    <t>09.05.24</t>
  </si>
  <si>
    <t>Got for buy some paratas</t>
  </si>
  <si>
    <t>13.05.24</t>
  </si>
  <si>
    <t>Got for meet Malith, Buddi &amp; Nisindu</t>
  </si>
  <si>
    <t>17.05.24</t>
  </si>
  <si>
    <t>Got for buy food (Kottu &amp; Paratas)</t>
  </si>
  <si>
    <t>18.05.24</t>
  </si>
  <si>
    <t>22.05.24</t>
  </si>
  <si>
    <t>Got for donate for Vesak bakti gee (gave to music sir)</t>
  </si>
  <si>
    <t>07.06.24</t>
  </si>
  <si>
    <t>To go to Ranjith seeya's place</t>
  </si>
  <si>
    <t>09.06.24</t>
  </si>
  <si>
    <t>May daily</t>
  </si>
  <si>
    <t>May weekly</t>
  </si>
  <si>
    <t>20.06.24</t>
  </si>
  <si>
    <t>To go to BMICH</t>
  </si>
  <si>
    <t>21.06.24</t>
  </si>
  <si>
    <t>23.06.24</t>
  </si>
  <si>
    <t>Gave to amma</t>
  </si>
  <si>
    <t>Balance (got from purse)</t>
  </si>
  <si>
    <t>26.06.24</t>
  </si>
  <si>
    <t>To go to Dialog</t>
  </si>
  <si>
    <t>Received from punchi</t>
  </si>
  <si>
    <t>June daily</t>
  </si>
  <si>
    <t>June weekly</t>
  </si>
  <si>
    <t>01.07.24</t>
  </si>
  <si>
    <t>2nd Quarter</t>
  </si>
  <si>
    <t>28.06.24</t>
  </si>
  <si>
    <t>Gave to malli for the Ice Cream</t>
  </si>
  <si>
    <t>05.07.24</t>
  </si>
  <si>
    <t>Gave to amma to bring lunch</t>
  </si>
  <si>
    <t>08.07.24</t>
  </si>
  <si>
    <t>Got for go to CCC</t>
  </si>
  <si>
    <t>14.07.24</t>
  </si>
  <si>
    <t>Put into my purse</t>
  </si>
  <si>
    <t>15.07.24</t>
  </si>
  <si>
    <t>21.07.24</t>
  </si>
  <si>
    <t>23.07.24</t>
  </si>
  <si>
    <t>05.08.24</t>
  </si>
  <si>
    <t>30.07.24</t>
  </si>
  <si>
    <t>Got to buy a soup packet &amp; buns for achchi amma</t>
  </si>
  <si>
    <t>03.08.24</t>
  </si>
  <si>
    <t>To go to Ramithu's party</t>
  </si>
  <si>
    <t>Balance of 29 Jul - 04 Aug week</t>
  </si>
  <si>
    <t>July daily</t>
  </si>
  <si>
    <t>July weekly</t>
  </si>
  <si>
    <t>06.08.24</t>
  </si>
  <si>
    <t>Got for go to KDU hospital</t>
  </si>
  <si>
    <t>08.08.24</t>
  </si>
  <si>
    <t>09.08.24</t>
  </si>
  <si>
    <t>Got to buy a gift for thaththa</t>
  </si>
  <si>
    <t>Not a loss</t>
  </si>
  <si>
    <t>26.08.24</t>
  </si>
  <si>
    <t>Balance of 5Aug - 11Aug week</t>
  </si>
  <si>
    <t>Loss of the week</t>
  </si>
  <si>
    <t>12.08.24</t>
  </si>
  <si>
    <t>Gave Buddi to buy rice kottu</t>
  </si>
  <si>
    <t>14.08.24</t>
  </si>
  <si>
    <r>
      <t xml:space="preserve">Buy something to achchi amma </t>
    </r>
    <r>
      <rPr>
        <b/>
        <sz val="11"/>
        <color theme="1"/>
        <rFont val="Calibri"/>
        <family val="2"/>
        <scheme val="minor"/>
      </rPr>
      <t>(date not sure)</t>
    </r>
  </si>
  <si>
    <t>Profit of the week😂</t>
  </si>
  <si>
    <t>19.08.24</t>
  </si>
  <si>
    <t>Gave to Ranjith seeya</t>
  </si>
  <si>
    <t>22.08.24</t>
  </si>
  <si>
    <t>Balance of 19Aug - 25 Aug week</t>
  </si>
  <si>
    <t>Balance of 12Aug - 18Aug week</t>
  </si>
  <si>
    <t>27.08.24</t>
  </si>
  <si>
    <t>Got for go to Maharagama</t>
  </si>
  <si>
    <t>03.09.24</t>
  </si>
  <si>
    <t>August daily</t>
  </si>
  <si>
    <t>August weekly</t>
  </si>
  <si>
    <t>06.09.24</t>
  </si>
  <si>
    <t>07.09.24</t>
  </si>
  <si>
    <t>08.09.24</t>
  </si>
  <si>
    <t>Got for go to Dinath's place</t>
  </si>
  <si>
    <t>09.09.24</t>
  </si>
  <si>
    <t>15.09.24</t>
  </si>
  <si>
    <t>18.09.24</t>
  </si>
  <si>
    <t>19.09.24</t>
  </si>
  <si>
    <t>Balance of 16Sep - 22Sep week</t>
  </si>
  <si>
    <t>24.09.24</t>
  </si>
  <si>
    <t>30.09.24</t>
  </si>
  <si>
    <t>Balance of 26Aug - 1Sep week</t>
  </si>
  <si>
    <t>Balance of 2Sep - 8Sep week</t>
  </si>
  <si>
    <t>Balance of 23Sep - 29Sep week</t>
  </si>
  <si>
    <t>07.10.24</t>
  </si>
  <si>
    <t>Balance of 30Sep - 6Oct week</t>
  </si>
  <si>
    <t>04.10.24</t>
  </si>
  <si>
    <t>Got for buy a gift voucher for amma</t>
  </si>
  <si>
    <t>08.10.24</t>
  </si>
  <si>
    <t>13.10.24</t>
  </si>
  <si>
    <t>September daily</t>
  </si>
  <si>
    <t>September weekly</t>
  </si>
  <si>
    <t>14.10.24</t>
  </si>
  <si>
    <t>16.10.24</t>
  </si>
  <si>
    <t>Got for go to the KDU Hospital</t>
  </si>
  <si>
    <t>21.10.24</t>
  </si>
  <si>
    <t>Balance of 14Oct - 20Oct week</t>
  </si>
  <si>
    <t>27.10.24</t>
  </si>
  <si>
    <t>28.10.24</t>
  </si>
  <si>
    <t>03.11.24</t>
  </si>
  <si>
    <t>October daily</t>
  </si>
  <si>
    <t>October weekly</t>
  </si>
  <si>
    <t>04.11.24</t>
  </si>
  <si>
    <t>06.11.24</t>
  </si>
  <si>
    <t>11.11.24</t>
  </si>
  <si>
    <t>Balance of 04Nov - 10Nov week</t>
  </si>
  <si>
    <t>17.11.24</t>
  </si>
  <si>
    <t>18.11.24</t>
  </si>
  <si>
    <t>19.11.24</t>
  </si>
  <si>
    <t>24.11.24</t>
  </si>
  <si>
    <t>Got for go go to IIT</t>
  </si>
  <si>
    <t>Got for go to go to IIT</t>
  </si>
  <si>
    <t>Received from punchi (bothal pattara)</t>
  </si>
  <si>
    <t>25.11.24</t>
  </si>
  <si>
    <t>26.11.24</t>
  </si>
  <si>
    <t>27.11.24</t>
  </si>
  <si>
    <t>02.12.24</t>
  </si>
  <si>
    <t>04.12.24</t>
  </si>
  <si>
    <t>Received from Ranjith seeya &amp; Nilupa punchi for b'day</t>
  </si>
  <si>
    <t>07.12.24</t>
  </si>
  <si>
    <t>Received from Upali Seeya for b'day</t>
  </si>
  <si>
    <t>09.12.24</t>
  </si>
  <si>
    <t>Profit of the week😂😂</t>
  </si>
  <si>
    <t>10.12.24</t>
  </si>
  <si>
    <t>17.12.24</t>
  </si>
  <si>
    <t>14.12.24</t>
  </si>
  <si>
    <t>Received from Ranjith seeya</t>
  </si>
  <si>
    <t>Balance of the 09Dec - 15Dec week</t>
  </si>
  <si>
    <t>Balance of 25Nov - 01Dec week</t>
  </si>
  <si>
    <t>18.12.24</t>
  </si>
  <si>
    <t>Gave to amma to bring dinner (kottu)</t>
  </si>
  <si>
    <t>29.12.24</t>
  </si>
  <si>
    <t>31.12.24</t>
  </si>
  <si>
    <t>Got for buy new clothes</t>
  </si>
  <si>
    <t>November daily</t>
  </si>
  <si>
    <t>November weekly</t>
  </si>
  <si>
    <t>Balance before 31 Dec</t>
  </si>
  <si>
    <t>December daily</t>
  </si>
  <si>
    <t>December weekly</t>
  </si>
  <si>
    <t>Loss of the year😭😭</t>
  </si>
  <si>
    <t>3rd Quarter</t>
  </si>
  <si>
    <t>4th Quarter</t>
  </si>
  <si>
    <t>Sum of all months (weekly)</t>
  </si>
  <si>
    <t>Sum of all months (daily)</t>
  </si>
  <si>
    <t>Cash Book 2025</t>
  </si>
  <si>
    <t>Income (Rs.)</t>
  </si>
  <si>
    <t>Expenditures(Rs.)</t>
  </si>
  <si>
    <t>07.01.25</t>
  </si>
  <si>
    <t>12.01.25</t>
  </si>
  <si>
    <t>Received from Upali Seeya</t>
  </si>
  <si>
    <t>16.01.25</t>
  </si>
  <si>
    <t>Balance of 6 Jan - 12 Jan week</t>
  </si>
  <si>
    <t>18.01.25</t>
  </si>
  <si>
    <t>Received from punchi + amma (overall)</t>
  </si>
  <si>
    <t>21.01.25</t>
  </si>
  <si>
    <t>Balance of 13 Jan - 19 Jan week</t>
  </si>
  <si>
    <t>26.01.25</t>
  </si>
  <si>
    <t>27.01.25</t>
  </si>
  <si>
    <t>Balance of 20 Jan - 28 Jan week</t>
  </si>
  <si>
    <t>31.01.25</t>
  </si>
  <si>
    <t>Got from purse</t>
  </si>
  <si>
    <t>Balance until 31 Jan</t>
  </si>
  <si>
    <t>Got from old purse (should be a balance of a week no idea)</t>
  </si>
  <si>
    <t>03.02.25</t>
  </si>
  <si>
    <t>06.02.25</t>
  </si>
  <si>
    <t>Got for go to Havelock</t>
  </si>
  <si>
    <t>10.02.25</t>
  </si>
  <si>
    <t>Balance of 3 Feb - 9 Feb week</t>
  </si>
  <si>
    <t>17.02.25</t>
  </si>
  <si>
    <t>Balance of 10 Feb - 16 Feb week</t>
  </si>
  <si>
    <t>23.02.25</t>
  </si>
  <si>
    <t>Received from Ranjith Seeya</t>
  </si>
  <si>
    <t>25.02.25</t>
  </si>
  <si>
    <t>Got for go to the basketball match</t>
  </si>
  <si>
    <t>26.02.25</t>
  </si>
  <si>
    <t>Got for to buy a Maroons T-shirt</t>
  </si>
  <si>
    <t>28.02.25</t>
  </si>
  <si>
    <t>Balance until 28 Feb</t>
  </si>
  <si>
    <t>01.03.25</t>
  </si>
  <si>
    <t>03.03.25</t>
  </si>
  <si>
    <t>10.03.25</t>
  </si>
  <si>
    <t>Balance of 3 Mar - 9 Mar week</t>
  </si>
  <si>
    <t>Balance of 24 Feb - 2 Mar week</t>
  </si>
  <si>
    <t>11.03.25</t>
  </si>
  <si>
    <t>17.03.25</t>
  </si>
  <si>
    <t>Balance of 10 Mar - 16 Mar week</t>
  </si>
  <si>
    <t>24.03.25</t>
  </si>
  <si>
    <t>Balance of 17 Mar - 23 Mar week</t>
  </si>
  <si>
    <t>25.03.25</t>
  </si>
  <si>
    <t>31.03.25</t>
  </si>
  <si>
    <t>Balance of 24 Mar - 30 Mar week</t>
  </si>
  <si>
    <t>Balance until this day same as the last week balance (Rs. 600)</t>
  </si>
  <si>
    <t>Received on someday from Rajith seeya</t>
  </si>
  <si>
    <t>01.04.25</t>
  </si>
  <si>
    <t>07.04.25</t>
  </si>
  <si>
    <t>Balance of 31 Mar - 06 Apr week</t>
  </si>
  <si>
    <t>09.04.25</t>
  </si>
  <si>
    <t>10.04.25</t>
  </si>
  <si>
    <t>11.04.25</t>
  </si>
  <si>
    <t>14.04.25</t>
  </si>
  <si>
    <t>Received for awurudu</t>
  </si>
  <si>
    <t>17.04.25</t>
  </si>
  <si>
    <t>Received for awurudu from seeya &amp; punchi</t>
  </si>
  <si>
    <t>13.04.25</t>
  </si>
  <si>
    <t>Balance of the week (checked 18.04.25)</t>
  </si>
  <si>
    <t>18.04.25</t>
  </si>
  <si>
    <t>Got for go to Matheesha's place</t>
  </si>
  <si>
    <t>21.04.25</t>
  </si>
  <si>
    <t>Balance of 14 Apr - 20 Apr week (in purse)</t>
  </si>
  <si>
    <t xml:space="preserve">Spend to buy a roll &amp; vade for dad </t>
  </si>
  <si>
    <t>23.04.25</t>
  </si>
  <si>
    <t>29.04.25</t>
  </si>
  <si>
    <t>Balance of 21 Apr - 27 Apr week</t>
  </si>
  <si>
    <t>Got for get the medical for driving license</t>
  </si>
  <si>
    <t>30.04.25</t>
  </si>
  <si>
    <t>Balance until this day (checked on 02.05.25)</t>
  </si>
  <si>
    <t>05.05.25</t>
  </si>
  <si>
    <t>Received balance from buying string hopers</t>
  </si>
  <si>
    <t>02.05.25</t>
  </si>
  <si>
    <t>Got for get a swimming trunk</t>
  </si>
  <si>
    <t>04.05.25</t>
  </si>
  <si>
    <t>Got for pay for swimming</t>
  </si>
  <si>
    <t>08.05.25</t>
  </si>
  <si>
    <t>Got for buy a pair of slippers</t>
  </si>
  <si>
    <t>13.05.25</t>
  </si>
  <si>
    <t>Balance of 5 May - 11 May week</t>
  </si>
  <si>
    <t>14.05.25</t>
  </si>
  <si>
    <t>Didn't put money into the main one</t>
  </si>
  <si>
    <t>17.05.25</t>
  </si>
  <si>
    <t>19.05.25</t>
  </si>
  <si>
    <t>Balance of 12 May - 18 May week</t>
  </si>
  <si>
    <t>25.05.25</t>
  </si>
  <si>
    <t>26.05.25</t>
  </si>
  <si>
    <t>Balance of 19 May - 25 May week</t>
  </si>
  <si>
    <t>Gave to amma for dinner</t>
  </si>
  <si>
    <t>30.05.25</t>
  </si>
  <si>
    <t>Received from amma (her loans paid)</t>
  </si>
  <si>
    <t>01.06.25</t>
  </si>
  <si>
    <t xml:space="preserve">31.05.25 </t>
  </si>
  <si>
    <t>Balance until this day</t>
  </si>
  <si>
    <t>02.06.25</t>
  </si>
  <si>
    <t>Balance of 26 May - 1 Jun week</t>
  </si>
  <si>
    <t>06.06.25</t>
  </si>
  <si>
    <t>08.06.25</t>
  </si>
  <si>
    <t>Got for cut the hair</t>
  </si>
  <si>
    <t>Balance of the week (checked 12.06.25)</t>
  </si>
  <si>
    <t>12.06.25</t>
  </si>
  <si>
    <t>Got for go to learners</t>
  </si>
  <si>
    <t>16.06.25</t>
  </si>
  <si>
    <t>Balance of 9 Jun - 15 Jun week</t>
  </si>
  <si>
    <t>Gave to malli to go classes</t>
  </si>
  <si>
    <t>19.06.25</t>
  </si>
  <si>
    <t>20.06.25</t>
  </si>
  <si>
    <t>Received from thaththa (the amount gave to malli)</t>
  </si>
  <si>
    <t>25.06.25</t>
  </si>
  <si>
    <t>Balance of 16 Jun - 22 June week</t>
  </si>
  <si>
    <t>29.06.25</t>
  </si>
  <si>
    <t>No Profit or loss</t>
  </si>
  <si>
    <t>02.07.25</t>
  </si>
  <si>
    <t xml:space="preserve">Got for go to school </t>
  </si>
  <si>
    <t>05.07.25</t>
  </si>
  <si>
    <t>12.07.25</t>
  </si>
  <si>
    <t>Balance of last week</t>
  </si>
  <si>
    <t>14.07.25</t>
  </si>
  <si>
    <t>23.07.25</t>
  </si>
  <si>
    <t>25.07.25</t>
  </si>
  <si>
    <t>30.07.25</t>
  </si>
  <si>
    <t>03.08.25</t>
  </si>
  <si>
    <t>Got for go to BMICH</t>
  </si>
  <si>
    <t>04.08.25</t>
  </si>
  <si>
    <t>07.08.25</t>
  </si>
  <si>
    <t>10.08.25</t>
  </si>
  <si>
    <t>11.08.25</t>
  </si>
  <si>
    <t>18.08.25</t>
  </si>
  <si>
    <t>27.08.25</t>
  </si>
  <si>
    <t>01.09.25</t>
  </si>
  <si>
    <t>09.09.25</t>
  </si>
  <si>
    <t>Kept in purse</t>
  </si>
  <si>
    <t>16.09.25</t>
  </si>
  <si>
    <t>18.09.25</t>
  </si>
  <si>
    <t>Got for go to Paddock Club after trial</t>
  </si>
  <si>
    <t>23.09.25</t>
  </si>
  <si>
    <t>29.09.25</t>
  </si>
  <si>
    <t>07.10.25</t>
  </si>
  <si>
    <t>08.10.25</t>
  </si>
  <si>
    <t>13.10.25</t>
  </si>
  <si>
    <t>17.10.25</t>
  </si>
  <si>
    <t>20.10.25</t>
  </si>
  <si>
    <t>24.10.25</t>
  </si>
  <si>
    <t>27.10.25</t>
  </si>
  <si>
    <t>02.11.25</t>
  </si>
  <si>
    <t>03.11.25</t>
  </si>
  <si>
    <t>10.11.25</t>
  </si>
  <si>
    <t>11.11.25</t>
  </si>
  <si>
    <t>17.11.25</t>
  </si>
  <si>
    <t>24.11.25</t>
  </si>
  <si>
    <t>02.12.25</t>
  </si>
  <si>
    <t>04.12.25</t>
  </si>
  <si>
    <t>Received from Ranjith Seeya &amp; Nilupa Punchi</t>
  </si>
  <si>
    <t>08.12.25</t>
  </si>
  <si>
    <t>13.12.25</t>
  </si>
  <si>
    <t>11.12.25</t>
  </si>
  <si>
    <t>Received from Mahappa &amp; Loku Amma</t>
  </si>
  <si>
    <t>20.12.25</t>
  </si>
  <si>
    <t>Got for go to Cool Planet (in case)</t>
  </si>
  <si>
    <t>21.12.25</t>
  </si>
  <si>
    <t>29.12.25</t>
  </si>
  <si>
    <t>Gave to Amma to bring some chicken puff or other</t>
  </si>
  <si>
    <t>31.12.25</t>
  </si>
  <si>
    <t>Got for go to Madhushanka Tailors (Rs. 1000 for Advance)</t>
  </si>
  <si>
    <t>Balance of last (two) week</t>
  </si>
  <si>
    <t>All Income</t>
  </si>
  <si>
    <t>Sum of all daily</t>
  </si>
  <si>
    <t>Sum of all monthly</t>
  </si>
  <si>
    <t>1st Quater</t>
  </si>
  <si>
    <t>Cash Book 2026</t>
  </si>
  <si>
    <t>Expenditure (Rs.)</t>
  </si>
  <si>
    <t xml:space="preserve">Gave to Amma to bring onions </t>
  </si>
  <si>
    <t>02.01.26</t>
  </si>
  <si>
    <t>09.01.26</t>
  </si>
  <si>
    <t>11.01.26</t>
  </si>
  <si>
    <t>12.01.26</t>
  </si>
  <si>
    <t>Balance of last (two) week(s)</t>
  </si>
  <si>
    <t>16.01.26</t>
  </si>
  <si>
    <t>17.01.26</t>
  </si>
  <si>
    <t>18.01.26</t>
  </si>
  <si>
    <t>Got for go to Dehiwala</t>
  </si>
  <si>
    <t>19.01.26</t>
  </si>
  <si>
    <t>Got for go to the doctor</t>
  </si>
  <si>
    <t>27.01.26</t>
  </si>
  <si>
    <t>02.02.26</t>
  </si>
  <si>
    <t>10.02.26</t>
  </si>
  <si>
    <t>13.02.26</t>
  </si>
  <si>
    <t>16.02.26</t>
  </si>
  <si>
    <t>23.02.26</t>
  </si>
  <si>
    <t>No Profit or Loss</t>
  </si>
  <si>
    <t>28.02.26</t>
  </si>
  <si>
    <t>Got for go to Big Match</t>
  </si>
  <si>
    <t>03.03.26</t>
  </si>
  <si>
    <t>09.03.26</t>
  </si>
  <si>
    <t>16.03.26</t>
  </si>
  <si>
    <t>17.03.26</t>
  </si>
  <si>
    <t>24.03.26</t>
  </si>
  <si>
    <t>26.03.26</t>
  </si>
  <si>
    <t>30.03.26</t>
  </si>
  <si>
    <t>05.04.26</t>
  </si>
  <si>
    <t>06.04.26</t>
  </si>
  <si>
    <t>10.04.26</t>
  </si>
  <si>
    <t>Got for go to Awurudu Uthsavaya</t>
  </si>
  <si>
    <t>14.04.26</t>
  </si>
  <si>
    <t>Received from Upali Seeya (for awurudu)</t>
  </si>
  <si>
    <t>18.04.26</t>
  </si>
  <si>
    <t>Got to paid for thaththa's torch</t>
  </si>
  <si>
    <t>19.04.26</t>
  </si>
  <si>
    <t>20.04.26</t>
  </si>
  <si>
    <t>25.04.26</t>
  </si>
  <si>
    <t>Received from King Coconut man</t>
  </si>
  <si>
    <t>27.04.26</t>
  </si>
  <si>
    <t>28.04.26</t>
  </si>
  <si>
    <t>Got to pay for the Gym (membership for a year)</t>
  </si>
  <si>
    <t>04.05.26</t>
  </si>
  <si>
    <t>09.05.26</t>
  </si>
  <si>
    <t>Got for go to Excel world</t>
  </si>
  <si>
    <t>Got for go out with Dinath</t>
  </si>
  <si>
    <t>11.05.26</t>
  </si>
  <si>
    <t>Got for use for the entire week</t>
  </si>
  <si>
    <t>18.05.26</t>
  </si>
  <si>
    <t>22.05.26</t>
  </si>
  <si>
    <t>Received from Chithra Achchi</t>
  </si>
  <si>
    <t>25.05.26</t>
  </si>
  <si>
    <t>01.06.26</t>
  </si>
  <si>
    <t>05.06.26</t>
  </si>
  <si>
    <t>08.06.26</t>
  </si>
  <si>
    <t>15.06.26</t>
  </si>
  <si>
    <t>21.06.26</t>
  </si>
  <si>
    <t>Got for incase to buy adult pampus</t>
  </si>
  <si>
    <t>23.06.26</t>
  </si>
  <si>
    <t>27.06.26</t>
  </si>
  <si>
    <t>Received from thaththa for last week expenses</t>
  </si>
  <si>
    <t>30.06.26</t>
  </si>
  <si>
    <t>03.07.26</t>
  </si>
  <si>
    <t>06.07.26</t>
  </si>
  <si>
    <t>13.07.26</t>
  </si>
  <si>
    <t>19.07.26</t>
  </si>
  <si>
    <t>20.07.26</t>
  </si>
  <si>
    <t>27.07.26</t>
  </si>
  <si>
    <t>31.07.26</t>
  </si>
  <si>
    <t>05.08.26</t>
  </si>
  <si>
    <t>06.08.26</t>
  </si>
  <si>
    <t>Got for go to the cemetery</t>
  </si>
  <si>
    <t>08.08.26</t>
  </si>
  <si>
    <t>Got for buy clothes</t>
  </si>
  <si>
    <t>10.08.26</t>
  </si>
  <si>
    <t>17.08.26</t>
  </si>
  <si>
    <t>20.08.26</t>
  </si>
  <si>
    <t>Got for go to career fair</t>
  </si>
  <si>
    <t>23.08.26</t>
  </si>
  <si>
    <t>24.08.26</t>
  </si>
  <si>
    <t>Got for use for the entire week/day</t>
  </si>
  <si>
    <t>31.08.26</t>
  </si>
  <si>
    <t>Got for go to SSB</t>
  </si>
  <si>
    <t>04.09.26</t>
  </si>
  <si>
    <t>Got for go to Gym</t>
  </si>
  <si>
    <t>05.09.26</t>
  </si>
  <si>
    <t>07.09.26</t>
  </si>
  <si>
    <t>12.09.26</t>
  </si>
  <si>
    <t>14.09.26</t>
  </si>
  <si>
    <t>16.09.26</t>
  </si>
  <si>
    <t>21.09.26</t>
  </si>
  <si>
    <t>27.09.26</t>
  </si>
  <si>
    <t>28.09.26</t>
  </si>
  <si>
    <t>-</t>
  </si>
  <si>
    <t>23.09.24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</si>
</sst>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[$Rs.-849]\ #,##0.00"/>
    <numFmt numFmtId="166" formatCode="m/d/yy;@"/>
    <numFmt numFmtId="167" formatCode="[$Rs.-849]#,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31" applyNumberFormat="0" applyFill="0" applyAlignment="0" applyProtection="0"/>
    <xf numFmtId="0" fontId="7" fillId="5" borderId="0" applyNumberFormat="0" applyBorder="0" applyAlignment="0" applyProtection="0"/>
    <xf numFmtId="0" fontId="8" fillId="6" borderId="33" applyNumberFormat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</cellStyleXfs>
  <cellXfs count="178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164" fontId="0" fillId="0" borderId="4" xfId="0" applyNumberFormat="1" applyBorder="1"/>
    <xf numFmtId="164" fontId="0" fillId="0" borderId="11" xfId="0" applyNumberFormat="1" applyBorder="1"/>
    <xf numFmtId="165" fontId="0" fillId="0" borderId="0" xfId="0" applyNumberFormat="1"/>
    <xf numFmtId="164" fontId="0" fillId="0" borderId="7" xfId="0" applyNumberFormat="1" applyBorder="1"/>
    <xf numFmtId="164" fontId="0" fillId="0" borderId="10" xfId="0" applyNumberFormat="1" applyBorder="1"/>
    <xf numFmtId="0" fontId="1" fillId="4" borderId="12" xfId="0" applyFont="1" applyFill="1" applyBorder="1"/>
    <xf numFmtId="165" fontId="0" fillId="4" borderId="14" xfId="0" applyNumberFormat="1" applyFill="1" applyBorder="1"/>
    <xf numFmtId="164" fontId="0" fillId="0" borderId="15" xfId="0" applyNumberFormat="1" applyBorder="1"/>
    <xf numFmtId="164" fontId="0" fillId="0" borderId="18" xfId="0" applyNumberFormat="1" applyBorder="1"/>
    <xf numFmtId="165" fontId="5" fillId="0" borderId="0" xfId="0" applyNumberFormat="1" applyFont="1"/>
    <xf numFmtId="164" fontId="0" fillId="0" borderId="21" xfId="0" applyNumberFormat="1" applyBorder="1"/>
    <xf numFmtId="164" fontId="0" fillId="0" borderId="1" xfId="0" applyNumberFormat="1" applyBorder="1"/>
    <xf numFmtId="0" fontId="0" fillId="0" borderId="13" xfId="0" applyBorder="1"/>
    <xf numFmtId="14" fontId="0" fillId="0" borderId="0" xfId="0" applyNumberFormat="1"/>
    <xf numFmtId="14" fontId="0" fillId="0" borderId="6" xfId="0" applyNumberFormat="1" applyBorder="1"/>
    <xf numFmtId="14" fontId="0" fillId="0" borderId="10" xfId="0" applyNumberFormat="1" applyBorder="1"/>
    <xf numFmtId="14" fontId="0" fillId="0" borderId="4" xfId="0" applyNumberFormat="1" applyBorder="1"/>
    <xf numFmtId="14" fontId="0" fillId="0" borderId="11" xfId="0" applyNumberFormat="1" applyBorder="1"/>
    <xf numFmtId="14" fontId="0" fillId="0" borderId="7" xfId="0" applyNumberFormat="1" applyBorder="1"/>
    <xf numFmtId="0" fontId="1" fillId="4" borderId="0" xfId="0" applyFont="1" applyFill="1"/>
    <xf numFmtId="165" fontId="0" fillId="4" borderId="0" xfId="0" applyNumberFormat="1" applyFill="1"/>
    <xf numFmtId="14" fontId="0" fillId="0" borderId="27" xfId="0" applyNumberFormat="1" applyBorder="1"/>
    <xf numFmtId="14" fontId="0" fillId="0" borderId="28" xfId="0" applyNumberFormat="1" applyBorder="1"/>
    <xf numFmtId="14" fontId="0" fillId="0" borderId="26" xfId="0" applyNumberFormat="1" applyBorder="1"/>
    <xf numFmtId="165" fontId="8" fillId="6" borderId="33" xfId="3" applyNumberFormat="1"/>
    <xf numFmtId="0" fontId="7" fillId="5" borderId="0" xfId="2"/>
    <xf numFmtId="165" fontId="9" fillId="0" borderId="31" xfId="1" applyNumberFormat="1" applyFont="1"/>
    <xf numFmtId="0" fontId="10" fillId="7" borderId="0" xfId="4"/>
    <xf numFmtId="0" fontId="11" fillId="8" borderId="0" xfId="5"/>
    <xf numFmtId="14" fontId="0" fillId="0" borderId="15" xfId="0" applyNumberFormat="1" applyBorder="1"/>
    <xf numFmtId="0" fontId="1" fillId="4" borderId="34" xfId="0" applyFont="1" applyFill="1" applyBorder="1"/>
    <xf numFmtId="0" fontId="1" fillId="0" borderId="6" xfId="0" applyFont="1" applyBorder="1"/>
    <xf numFmtId="14" fontId="0" fillId="9" borderId="10" xfId="0" applyNumberFormat="1" applyFill="1" applyBorder="1"/>
    <xf numFmtId="165" fontId="8" fillId="6" borderId="35" xfId="3" applyNumberFormat="1" applyBorder="1"/>
    <xf numFmtId="14" fontId="1" fillId="0" borderId="10" xfId="0" applyNumberFormat="1" applyFont="1" applyBorder="1"/>
    <xf numFmtId="14" fontId="1" fillId="0" borderId="7" xfId="0" applyNumberFormat="1" applyFont="1" applyBorder="1"/>
    <xf numFmtId="14" fontId="0" fillId="0" borderId="18" xfId="0" applyNumberFormat="1" applyBorder="1"/>
    <xf numFmtId="14" fontId="0" fillId="9" borderId="21" xfId="0" applyNumberFormat="1" applyFill="1" applyBorder="1"/>
    <xf numFmtId="0" fontId="0" fillId="0" borderId="36" xfId="0" applyBorder="1"/>
    <xf numFmtId="165" fontId="1" fillId="0" borderId="0" xfId="0" applyNumberFormat="1" applyFont="1"/>
    <xf numFmtId="14" fontId="0" fillId="0" borderId="17" xfId="0" applyNumberFormat="1" applyBorder="1"/>
    <xf numFmtId="165" fontId="1" fillId="0" borderId="31" xfId="1" applyNumberFormat="1"/>
    <xf numFmtId="14" fontId="0" fillId="0" borderId="21" xfId="0" applyNumberFormat="1" applyBorder="1"/>
    <xf numFmtId="0" fontId="1" fillId="11" borderId="7" xfId="0" applyFont="1" applyFill="1" applyBorder="1"/>
    <xf numFmtId="165" fontId="7" fillId="5" borderId="37" xfId="2" applyNumberFormat="1" applyBorder="1"/>
    <xf numFmtId="0" fontId="12" fillId="13" borderId="0" xfId="0" applyFont="1" applyFill="1"/>
    <xf numFmtId="164" fontId="0" fillId="0" borderId="0" xfId="0" applyNumberFormat="1"/>
    <xf numFmtId="166" fontId="0" fillId="0" borderId="11" xfId="0" applyNumberFormat="1" applyBorder="1"/>
    <xf numFmtId="166" fontId="0" fillId="0" borderId="10" xfId="0" applyNumberFormat="1" applyBorder="1"/>
    <xf numFmtId="166" fontId="0" fillId="0" borderId="7" xfId="0" applyNumberFormat="1" applyBorder="1"/>
    <xf numFmtId="167" fontId="0" fillId="0" borderId="0" xfId="0" applyNumberFormat="1"/>
    <xf numFmtId="167" fontId="8" fillId="6" borderId="33" xfId="3" applyNumberFormat="1"/>
    <xf numFmtId="0" fontId="0" fillId="0" borderId="39" xfId="0" applyBorder="1"/>
    <xf numFmtId="0" fontId="0" fillId="0" borderId="28" xfId="0" applyBorder="1"/>
    <xf numFmtId="164" fontId="0" fillId="0" borderId="27" xfId="0" applyNumberFormat="1" applyBorder="1"/>
    <xf numFmtId="164" fontId="0" fillId="0" borderId="40" xfId="0" applyNumberFormat="1" applyBorder="1"/>
    <xf numFmtId="166" fontId="0" fillId="0" borderId="18" xfId="0" applyNumberFormat="1" applyBorder="1"/>
    <xf numFmtId="167" fontId="0" fillId="4" borderId="0" xfId="0" applyNumberFormat="1" applyFill="1"/>
    <xf numFmtId="0" fontId="0" fillId="0" borderId="34" xfId="0" applyBorder="1"/>
    <xf numFmtId="167" fontId="0" fillId="0" borderId="34" xfId="0" applyNumberFormat="1" applyBorder="1"/>
    <xf numFmtId="0" fontId="1" fillId="11" borderId="1" xfId="0" applyFont="1" applyFill="1" applyBorder="1" applyAlignment="1">
      <alignment horizontal="center"/>
    </xf>
    <xf numFmtId="167" fontId="1" fillId="11" borderId="1" xfId="0" applyNumberFormat="1" applyFont="1" applyFill="1" applyBorder="1" applyAlignment="1">
      <alignment horizontal="center"/>
    </xf>
    <xf numFmtId="164" fontId="1" fillId="11" borderId="10" xfId="0" applyNumberFormat="1" applyFont="1" applyFill="1" applyBorder="1" applyAlignment="1">
      <alignment horizontal="center"/>
    </xf>
    <xf numFmtId="0" fontId="0" fillId="0" borderId="14" xfId="0" applyBorder="1"/>
    <xf numFmtId="167" fontId="0" fillId="0" borderId="14" xfId="0" applyNumberFormat="1" applyBorder="1"/>
    <xf numFmtId="0" fontId="0" fillId="0" borderId="1" xfId="0" applyBorder="1"/>
    <xf numFmtId="167" fontId="0" fillId="0" borderId="1" xfId="0" applyNumberFormat="1" applyBorder="1"/>
    <xf numFmtId="0" fontId="10" fillId="7" borderId="33" xfId="4" applyBorder="1"/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67" fontId="1" fillId="0" borderId="19" xfId="0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167" fontId="0" fillId="0" borderId="22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167" fontId="0" fillId="0" borderId="23" xfId="0" applyNumberFormat="1" applyBorder="1" applyAlignment="1">
      <alignment horizontal="center"/>
    </xf>
    <xf numFmtId="167" fontId="0" fillId="0" borderId="25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7" fontId="0" fillId="0" borderId="8" xfId="0" applyNumberFormat="1" applyBorder="1" applyAlignment="1">
      <alignment horizontal="center"/>
    </xf>
    <xf numFmtId="167" fontId="0" fillId="0" borderId="4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167" fontId="0" fillId="0" borderId="19" xfId="0" applyNumberFormat="1" applyBorder="1" applyAlignment="1">
      <alignment horizontal="center"/>
    </xf>
    <xf numFmtId="167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5" fontId="0" fillId="12" borderId="8" xfId="0" applyNumberFormat="1" applyFill="1" applyBorder="1" applyAlignment="1">
      <alignment horizontal="center"/>
    </xf>
    <xf numFmtId="165" fontId="0" fillId="12" borderId="10" xfId="0" applyNumberForma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6" fillId="0" borderId="13" xfId="0" applyNumberFormat="1" applyFont="1" applyBorder="1" applyAlignment="1">
      <alignment horizontal="center"/>
    </xf>
    <xf numFmtId="165" fontId="6" fillId="0" borderId="11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9" xfId="0" applyBorder="1" applyAlignment="1">
      <alignment horizontal="center"/>
    </xf>
    <xf numFmtId="165" fontId="1" fillId="0" borderId="26" xfId="1" applyNumberFormat="1" applyBorder="1" applyAlignment="1">
      <alignment horizontal="center"/>
    </xf>
    <xf numFmtId="165" fontId="1" fillId="0" borderId="32" xfId="1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9" borderId="22" xfId="0" applyNumberFormat="1" applyFill="1" applyBorder="1" applyAlignment="1">
      <alignment horizontal="center"/>
    </xf>
    <xf numFmtId="165" fontId="0" fillId="9" borderId="21" xfId="0" applyNumberFormat="1" applyFill="1" applyBorder="1" applyAlignment="1">
      <alignment horizontal="center"/>
    </xf>
    <xf numFmtId="165" fontId="0" fillId="9" borderId="8" xfId="0" applyNumberFormat="1" applyFill="1" applyBorder="1" applyAlignment="1">
      <alignment horizontal="center"/>
    </xf>
    <xf numFmtId="165" fontId="0" fillId="9" borderId="10" xfId="0" applyNumberFormat="1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1" fillId="0" borderId="19" xfId="0" applyNumberFormat="1" applyFont="1" applyBorder="1" applyAlignment="1">
      <alignment horizontal="center"/>
    </xf>
    <xf numFmtId="165" fontId="1" fillId="0" borderId="18" xfId="0" applyNumberFormat="1" applyFont="1" applyBorder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0" fillId="14" borderId="6" xfId="0" applyFill="1" applyBorder="1" applyAlignment="1">
      <alignment horizontal="center"/>
    </xf>
  </cellXfs>
  <cellStyles count="6">
    <cellStyle name="Bad" xfId="4" builtinId="27"/>
    <cellStyle name="Calculation" xfId="3" builtinId="22"/>
    <cellStyle name="Good" xfId="2" builtinId="26"/>
    <cellStyle name="Neutral" xfId="5" builtinId="28"/>
    <cellStyle name="Normal" xfId="0" builtinId="0"/>
    <cellStyle name="Total" xfId="1" builtinId="25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83F00D-740F-4C7C-A648-0CC814778893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BB049-E094-43C2-96D0-758FB7DC407A}">
  <dimension ref="A1:N111"/>
  <sheetViews>
    <sheetView topLeftCell="A84" zoomScale="91" zoomScaleNormal="91" workbookViewId="0">
      <selection activeCell="A112" sqref="A112"/>
    </sheetView>
  </sheetViews>
  <sheetFormatPr defaultRowHeight="14.4" x14ac:dyDescent="0.3"/>
  <cols>
    <col min="10" max="10" width="16" customWidth="1"/>
    <col min="11" max="11" width="14.44140625" customWidth="1"/>
    <col min="13" max="13" width="16.5546875" customWidth="1"/>
  </cols>
  <sheetData>
    <row r="1" spans="1:11" x14ac:dyDescent="0.3">
      <c r="A1" s="140" t="s">
        <v>2</v>
      </c>
      <c r="B1" s="141"/>
      <c r="C1" s="141"/>
      <c r="D1" s="141"/>
      <c r="E1" s="141"/>
      <c r="F1" s="141"/>
      <c r="G1" s="141"/>
      <c r="H1" s="141"/>
      <c r="I1" s="142"/>
    </row>
    <row r="2" spans="1:11" x14ac:dyDescent="0.3">
      <c r="A2" s="143"/>
      <c r="B2" s="144"/>
      <c r="C2" s="144"/>
      <c r="D2" s="144"/>
      <c r="E2" s="144"/>
      <c r="F2" s="144"/>
      <c r="G2" s="144"/>
      <c r="H2" s="144"/>
      <c r="I2" s="145"/>
    </row>
    <row r="3" spans="1:11" ht="15.6" x14ac:dyDescent="0.3">
      <c r="A3" s="2" t="s">
        <v>0</v>
      </c>
      <c r="B3" s="146" t="s">
        <v>1</v>
      </c>
      <c r="C3" s="147"/>
      <c r="D3" s="147"/>
      <c r="E3" s="147"/>
      <c r="F3" s="147"/>
      <c r="G3" s="148"/>
      <c r="H3" s="146" t="s">
        <v>3</v>
      </c>
      <c r="I3" s="149"/>
    </row>
    <row r="4" spans="1:11" x14ac:dyDescent="0.3">
      <c r="A4" s="3" t="s">
        <v>4</v>
      </c>
      <c r="B4" s="125" t="s">
        <v>5</v>
      </c>
      <c r="C4" s="126"/>
      <c r="D4" s="126"/>
      <c r="E4" s="126"/>
      <c r="F4" s="126"/>
      <c r="G4" s="127"/>
      <c r="H4" s="117">
        <v>100</v>
      </c>
      <c r="I4" s="118"/>
      <c r="J4" s="5">
        <f>SUM(H4:I6)</f>
        <v>300</v>
      </c>
    </row>
    <row r="5" spans="1:11" x14ac:dyDescent="0.3">
      <c r="A5" s="4"/>
      <c r="B5" s="77" t="s">
        <v>77</v>
      </c>
      <c r="C5" s="78"/>
      <c r="D5" s="78"/>
      <c r="E5" s="78"/>
      <c r="F5" s="78"/>
      <c r="G5" s="79"/>
      <c r="H5" s="108">
        <v>100</v>
      </c>
      <c r="I5" s="109"/>
    </row>
    <row r="6" spans="1:11" x14ac:dyDescent="0.3">
      <c r="A6" s="6"/>
      <c r="B6" s="95" t="s">
        <v>6</v>
      </c>
      <c r="C6" s="96"/>
      <c r="D6" s="96"/>
      <c r="E6" s="96"/>
      <c r="F6" s="96"/>
      <c r="G6" s="97"/>
      <c r="H6" s="110">
        <v>100</v>
      </c>
      <c r="I6" s="111"/>
    </row>
    <row r="7" spans="1:11" x14ac:dyDescent="0.3">
      <c r="A7" s="4" t="s">
        <v>7</v>
      </c>
      <c r="B7" s="125" t="s">
        <v>8</v>
      </c>
      <c r="C7" s="126"/>
      <c r="D7" s="126"/>
      <c r="E7" s="126"/>
      <c r="F7" s="126"/>
      <c r="G7" s="127"/>
      <c r="H7" s="117">
        <v>100</v>
      </c>
      <c r="I7" s="118"/>
      <c r="J7" s="5"/>
    </row>
    <row r="8" spans="1:11" x14ac:dyDescent="0.3">
      <c r="A8" s="6"/>
      <c r="B8" s="137" t="s">
        <v>13</v>
      </c>
      <c r="C8" s="138"/>
      <c r="D8" s="138"/>
      <c r="E8" s="138"/>
      <c r="F8" s="138"/>
      <c r="G8" s="139"/>
      <c r="H8" s="110">
        <v>0</v>
      </c>
      <c r="I8" s="111"/>
    </row>
    <row r="9" spans="1:11" x14ac:dyDescent="0.3">
      <c r="A9" s="7" t="s">
        <v>9</v>
      </c>
      <c r="B9" s="92" t="s">
        <v>10</v>
      </c>
      <c r="C9" s="81"/>
      <c r="D9" s="81"/>
      <c r="E9" s="81"/>
      <c r="F9" s="81"/>
      <c r="G9" s="82"/>
      <c r="H9" s="106">
        <v>200</v>
      </c>
      <c r="I9" s="107"/>
    </row>
    <row r="10" spans="1:11" x14ac:dyDescent="0.3">
      <c r="A10" s="7" t="s">
        <v>11</v>
      </c>
      <c r="B10" s="92" t="s">
        <v>12</v>
      </c>
      <c r="C10" s="81"/>
      <c r="D10" s="81"/>
      <c r="E10" s="81"/>
      <c r="F10" s="81"/>
      <c r="G10" s="82"/>
      <c r="H10" s="106">
        <v>100</v>
      </c>
      <c r="I10" s="107"/>
      <c r="K10" s="1" t="s">
        <v>16</v>
      </c>
    </row>
    <row r="11" spans="1:11" x14ac:dyDescent="0.3">
      <c r="A11" s="7" t="s">
        <v>14</v>
      </c>
      <c r="B11" s="92" t="s">
        <v>15</v>
      </c>
      <c r="C11" s="81"/>
      <c r="D11" s="81"/>
      <c r="E11" s="81"/>
      <c r="F11" s="81"/>
      <c r="G11" s="82"/>
      <c r="H11" s="106">
        <v>200</v>
      </c>
      <c r="I11" s="107"/>
      <c r="K11" s="12">
        <f>SUM(H4:I11)</f>
        <v>900</v>
      </c>
    </row>
    <row r="12" spans="1:11" x14ac:dyDescent="0.3">
      <c r="A12" s="7" t="s">
        <v>17</v>
      </c>
      <c r="B12" s="92" t="s">
        <v>18</v>
      </c>
      <c r="C12" s="81"/>
      <c r="D12" s="81"/>
      <c r="E12" s="81"/>
      <c r="F12" s="81"/>
      <c r="G12" s="82"/>
      <c r="H12" s="106">
        <v>200</v>
      </c>
      <c r="I12" s="107"/>
    </row>
    <row r="13" spans="1:11" x14ac:dyDescent="0.3">
      <c r="A13" s="7" t="s">
        <v>19</v>
      </c>
      <c r="B13" s="92" t="s">
        <v>18</v>
      </c>
      <c r="C13" s="81"/>
      <c r="D13" s="81"/>
      <c r="E13" s="81"/>
      <c r="F13" s="81"/>
      <c r="G13" s="82"/>
      <c r="H13" s="106">
        <v>300</v>
      </c>
      <c r="I13" s="107"/>
    </row>
    <row r="14" spans="1:11" x14ac:dyDescent="0.3">
      <c r="A14" s="3" t="s">
        <v>20</v>
      </c>
      <c r="B14" s="92" t="s">
        <v>21</v>
      </c>
      <c r="C14" s="81"/>
      <c r="D14" s="81"/>
      <c r="E14" s="81"/>
      <c r="F14" s="81"/>
      <c r="G14" s="82"/>
      <c r="H14" s="106">
        <v>100</v>
      </c>
      <c r="I14" s="107"/>
    </row>
    <row r="15" spans="1:11" x14ac:dyDescent="0.3">
      <c r="A15" s="3" t="s">
        <v>22</v>
      </c>
      <c r="B15" s="125" t="s">
        <v>8</v>
      </c>
      <c r="C15" s="126"/>
      <c r="D15" s="126"/>
      <c r="E15" s="126"/>
      <c r="F15" s="126"/>
      <c r="G15" s="127"/>
      <c r="H15" s="117">
        <v>100</v>
      </c>
      <c r="I15" s="118"/>
      <c r="J15" s="5">
        <f>SUM(H15:I16)</f>
        <v>200</v>
      </c>
    </row>
    <row r="16" spans="1:11" x14ac:dyDescent="0.3">
      <c r="A16" s="6"/>
      <c r="B16" s="95" t="s">
        <v>77</v>
      </c>
      <c r="C16" s="96"/>
      <c r="D16" s="96"/>
      <c r="E16" s="96"/>
      <c r="F16" s="96"/>
      <c r="G16" s="97"/>
      <c r="H16" s="110">
        <v>100</v>
      </c>
      <c r="I16" s="111"/>
    </row>
    <row r="17" spans="1:14" x14ac:dyDescent="0.3">
      <c r="A17" s="4" t="s">
        <v>23</v>
      </c>
      <c r="B17" s="125" t="s">
        <v>24</v>
      </c>
      <c r="C17" s="126"/>
      <c r="D17" s="126"/>
      <c r="E17" s="126"/>
      <c r="F17" s="126"/>
      <c r="G17" s="127"/>
      <c r="H17" s="117">
        <v>100</v>
      </c>
      <c r="I17" s="118"/>
      <c r="J17" s="5">
        <f>SUM(H17:I18)</f>
        <v>400</v>
      </c>
    </row>
    <row r="18" spans="1:14" x14ac:dyDescent="0.3">
      <c r="A18" s="6"/>
      <c r="B18" s="95" t="s">
        <v>25</v>
      </c>
      <c r="C18" s="96"/>
      <c r="D18" s="96"/>
      <c r="E18" s="96"/>
      <c r="F18" s="96"/>
      <c r="G18" s="97"/>
      <c r="H18" s="110">
        <v>300</v>
      </c>
      <c r="I18" s="111"/>
      <c r="K18" s="1" t="s">
        <v>28</v>
      </c>
    </row>
    <row r="19" spans="1:14" x14ac:dyDescent="0.3">
      <c r="A19" s="7" t="s">
        <v>26</v>
      </c>
      <c r="B19" s="92" t="s">
        <v>27</v>
      </c>
      <c r="C19" s="81"/>
      <c r="D19" s="81"/>
      <c r="E19" s="81"/>
      <c r="F19" s="81"/>
      <c r="G19" s="82"/>
      <c r="H19" s="106">
        <v>100</v>
      </c>
      <c r="I19" s="107"/>
      <c r="K19" s="12">
        <f>SUM(H12:I19)</f>
        <v>1300</v>
      </c>
    </row>
    <row r="20" spans="1:14" x14ac:dyDescent="0.3">
      <c r="A20" s="7" t="s">
        <v>29</v>
      </c>
      <c r="B20" s="92" t="s">
        <v>30</v>
      </c>
      <c r="C20" s="81"/>
      <c r="D20" s="81"/>
      <c r="E20" s="81"/>
      <c r="F20" s="81"/>
      <c r="G20" s="82"/>
      <c r="H20" s="106">
        <v>200</v>
      </c>
      <c r="I20" s="107"/>
    </row>
    <row r="21" spans="1:14" x14ac:dyDescent="0.3">
      <c r="A21" s="4" t="s">
        <v>31</v>
      </c>
      <c r="B21" s="125" t="s">
        <v>78</v>
      </c>
      <c r="C21" s="126"/>
      <c r="D21" s="126"/>
      <c r="E21" s="126"/>
      <c r="F21" s="126"/>
      <c r="G21" s="127"/>
      <c r="H21" s="117">
        <v>-300</v>
      </c>
      <c r="I21" s="118"/>
      <c r="J21" s="5">
        <f>SUM(H21:I22)</f>
        <v>400</v>
      </c>
    </row>
    <row r="22" spans="1:14" x14ac:dyDescent="0.3">
      <c r="A22" s="6"/>
      <c r="B22" s="95" t="s">
        <v>32</v>
      </c>
      <c r="C22" s="96"/>
      <c r="D22" s="96"/>
      <c r="E22" s="96"/>
      <c r="F22" s="96"/>
      <c r="G22" s="97"/>
      <c r="H22" s="110">
        <v>700</v>
      </c>
      <c r="I22" s="111"/>
    </row>
    <row r="23" spans="1:14" x14ac:dyDescent="0.3">
      <c r="A23" s="7" t="s">
        <v>33</v>
      </c>
      <c r="B23" s="92" t="s">
        <v>18</v>
      </c>
      <c r="C23" s="81"/>
      <c r="D23" s="81"/>
      <c r="E23" s="81"/>
      <c r="F23" s="81"/>
      <c r="G23" s="82"/>
      <c r="H23" s="106">
        <v>200</v>
      </c>
      <c r="I23" s="107"/>
    </row>
    <row r="24" spans="1:14" x14ac:dyDescent="0.3">
      <c r="A24" s="7" t="s">
        <v>34</v>
      </c>
      <c r="B24" s="92" t="s">
        <v>79</v>
      </c>
      <c r="C24" s="81"/>
      <c r="D24" s="81"/>
      <c r="E24" s="81"/>
      <c r="F24" s="81"/>
      <c r="G24" s="82"/>
      <c r="H24" s="106">
        <v>-300</v>
      </c>
      <c r="I24" s="107"/>
      <c r="K24" s="1" t="s">
        <v>37</v>
      </c>
      <c r="M24" s="8" t="s">
        <v>38</v>
      </c>
    </row>
    <row r="25" spans="1:14" ht="15" thickBot="1" x14ac:dyDescent="0.35">
      <c r="A25" s="10" t="s">
        <v>35</v>
      </c>
      <c r="B25" s="130" t="s">
        <v>80</v>
      </c>
      <c r="C25" s="131"/>
      <c r="D25" s="131"/>
      <c r="E25" s="131"/>
      <c r="F25" s="131"/>
      <c r="G25" s="132"/>
      <c r="H25" s="128">
        <v>-100</v>
      </c>
      <c r="I25" s="129"/>
      <c r="K25" s="12">
        <f>SUM(H20:I25)</f>
        <v>400</v>
      </c>
      <c r="M25" s="9">
        <f>K11+K19+K25</f>
        <v>2600</v>
      </c>
      <c r="N25" t="s">
        <v>147</v>
      </c>
    </row>
    <row r="26" spans="1:14" x14ac:dyDescent="0.3">
      <c r="A26" s="6" t="s">
        <v>36</v>
      </c>
      <c r="B26" s="95" t="s">
        <v>81</v>
      </c>
      <c r="C26" s="96"/>
      <c r="D26" s="96"/>
      <c r="E26" s="96"/>
      <c r="F26" s="96"/>
      <c r="G26" s="97"/>
      <c r="H26" s="110">
        <v>-100</v>
      </c>
      <c r="I26" s="111"/>
      <c r="K26" s="5"/>
    </row>
    <row r="27" spans="1:14" x14ac:dyDescent="0.3">
      <c r="A27" s="4" t="s">
        <v>39</v>
      </c>
      <c r="B27" s="125" t="s">
        <v>82</v>
      </c>
      <c r="C27" s="126"/>
      <c r="D27" s="126"/>
      <c r="E27" s="126"/>
      <c r="F27" s="126"/>
      <c r="G27" s="127"/>
      <c r="H27" s="117">
        <v>0</v>
      </c>
      <c r="I27" s="118"/>
      <c r="J27" s="5">
        <f>SUM(H27:I28)</f>
        <v>200</v>
      </c>
    </row>
    <row r="28" spans="1:14" x14ac:dyDescent="0.3">
      <c r="A28" s="6"/>
      <c r="B28" s="95" t="s">
        <v>77</v>
      </c>
      <c r="C28" s="96"/>
      <c r="D28" s="96"/>
      <c r="E28" s="96"/>
      <c r="F28" s="96"/>
      <c r="G28" s="97"/>
      <c r="H28" s="110">
        <v>200</v>
      </c>
      <c r="I28" s="111"/>
    </row>
    <row r="29" spans="1:14" x14ac:dyDescent="0.3">
      <c r="A29" s="7" t="s">
        <v>40</v>
      </c>
      <c r="B29" s="92" t="s">
        <v>41</v>
      </c>
      <c r="C29" s="81"/>
      <c r="D29" s="81"/>
      <c r="E29" s="81"/>
      <c r="F29" s="81"/>
      <c r="G29" s="82"/>
      <c r="H29" s="106">
        <v>700</v>
      </c>
      <c r="I29" s="107"/>
    </row>
    <row r="30" spans="1:14" x14ac:dyDescent="0.3">
      <c r="A30" s="7" t="s">
        <v>42</v>
      </c>
      <c r="B30" s="92" t="s">
        <v>43</v>
      </c>
      <c r="C30" s="81"/>
      <c r="D30" s="81"/>
      <c r="E30" s="81"/>
      <c r="F30" s="81"/>
      <c r="G30" s="82"/>
      <c r="H30" s="106">
        <v>1000</v>
      </c>
      <c r="I30" s="107"/>
    </row>
    <row r="31" spans="1:14" x14ac:dyDescent="0.3">
      <c r="A31" s="7" t="s">
        <v>44</v>
      </c>
      <c r="B31" s="92" t="s">
        <v>41</v>
      </c>
      <c r="C31" s="81"/>
      <c r="D31" s="81"/>
      <c r="E31" s="81"/>
      <c r="F31" s="81"/>
      <c r="G31" s="82"/>
      <c r="H31" s="106">
        <v>500</v>
      </c>
      <c r="I31" s="107"/>
    </row>
    <row r="32" spans="1:14" x14ac:dyDescent="0.3">
      <c r="A32" s="4" t="s">
        <v>45</v>
      </c>
      <c r="B32" s="125" t="s">
        <v>83</v>
      </c>
      <c r="C32" s="126"/>
      <c r="D32" s="126"/>
      <c r="E32" s="126"/>
      <c r="F32" s="126"/>
      <c r="G32" s="127"/>
      <c r="H32" s="117">
        <v>-100</v>
      </c>
      <c r="I32" s="118"/>
      <c r="J32" s="5">
        <f>SUM(H32:I33)</f>
        <v>100</v>
      </c>
    </row>
    <row r="33" spans="1:11" x14ac:dyDescent="0.3">
      <c r="A33" s="6"/>
      <c r="B33" s="95" t="s">
        <v>84</v>
      </c>
      <c r="C33" s="96"/>
      <c r="D33" s="96"/>
      <c r="E33" s="96"/>
      <c r="F33" s="96"/>
      <c r="G33" s="97"/>
      <c r="H33" s="110">
        <v>200</v>
      </c>
      <c r="I33" s="111"/>
    </row>
    <row r="34" spans="1:11" x14ac:dyDescent="0.3">
      <c r="A34" s="7" t="s">
        <v>46</v>
      </c>
      <c r="B34" s="92" t="s">
        <v>41</v>
      </c>
      <c r="C34" s="81"/>
      <c r="D34" s="81"/>
      <c r="E34" s="81"/>
      <c r="F34" s="81"/>
      <c r="G34" s="82"/>
      <c r="H34" s="106">
        <v>700</v>
      </c>
      <c r="I34" s="107"/>
      <c r="K34" s="1" t="s">
        <v>50</v>
      </c>
    </row>
    <row r="35" spans="1:11" x14ac:dyDescent="0.3">
      <c r="A35" s="7" t="s">
        <v>47</v>
      </c>
      <c r="B35" s="92" t="s">
        <v>48</v>
      </c>
      <c r="C35" s="81"/>
      <c r="D35" s="81"/>
      <c r="E35" s="81"/>
      <c r="F35" s="81"/>
      <c r="G35" s="82"/>
      <c r="H35" s="106">
        <v>200</v>
      </c>
      <c r="I35" s="107"/>
      <c r="K35" s="12">
        <f>SUM(H26:I35)</f>
        <v>3300</v>
      </c>
    </row>
    <row r="36" spans="1:11" x14ac:dyDescent="0.3">
      <c r="A36" s="4" t="s">
        <v>49</v>
      </c>
      <c r="B36" s="125" t="s">
        <v>85</v>
      </c>
      <c r="C36" s="126"/>
      <c r="D36" s="126"/>
      <c r="E36" s="126"/>
      <c r="F36" s="126"/>
      <c r="G36" s="127"/>
      <c r="H36" s="117">
        <v>-300</v>
      </c>
      <c r="I36" s="118"/>
      <c r="J36" s="5">
        <f>SUM(H36:I37)</f>
        <v>800</v>
      </c>
    </row>
    <row r="37" spans="1:11" x14ac:dyDescent="0.3">
      <c r="A37" s="6"/>
      <c r="B37" s="95" t="s">
        <v>51</v>
      </c>
      <c r="C37" s="96"/>
      <c r="D37" s="96"/>
      <c r="E37" s="96"/>
      <c r="F37" s="96"/>
      <c r="G37" s="97"/>
      <c r="H37" s="110">
        <v>1100</v>
      </c>
      <c r="I37" s="111"/>
    </row>
    <row r="38" spans="1:11" x14ac:dyDescent="0.3">
      <c r="A38" s="7" t="s">
        <v>52</v>
      </c>
      <c r="B38" s="92" t="s">
        <v>86</v>
      </c>
      <c r="C38" s="81"/>
      <c r="D38" s="81"/>
      <c r="E38" s="81"/>
      <c r="F38" s="81"/>
      <c r="G38" s="82"/>
      <c r="H38" s="106">
        <v>-700</v>
      </c>
      <c r="I38" s="107"/>
      <c r="J38" s="5">
        <f>SUM(H38:I39)</f>
        <v>-100</v>
      </c>
    </row>
    <row r="39" spans="1:11" x14ac:dyDescent="0.3">
      <c r="A39" s="7" t="s">
        <v>53</v>
      </c>
      <c r="B39" s="92" t="s">
        <v>54</v>
      </c>
      <c r="C39" s="81"/>
      <c r="D39" s="81"/>
      <c r="E39" s="81"/>
      <c r="F39" s="81"/>
      <c r="G39" s="82"/>
      <c r="H39" s="106">
        <v>600</v>
      </c>
      <c r="I39" s="107"/>
    </row>
    <row r="40" spans="1:11" x14ac:dyDescent="0.3">
      <c r="A40" s="4" t="s">
        <v>55</v>
      </c>
      <c r="B40" s="125" t="s">
        <v>79</v>
      </c>
      <c r="C40" s="126"/>
      <c r="D40" s="126"/>
      <c r="E40" s="126"/>
      <c r="F40" s="126"/>
      <c r="G40" s="127"/>
      <c r="H40" s="117">
        <v>-300</v>
      </c>
      <c r="I40" s="118"/>
      <c r="J40" s="5">
        <f>SUM(H40:I42)</f>
        <v>500</v>
      </c>
    </row>
    <row r="41" spans="1:11" x14ac:dyDescent="0.3">
      <c r="A41" s="4"/>
      <c r="B41" s="77" t="s">
        <v>56</v>
      </c>
      <c r="C41" s="78"/>
      <c r="D41" s="78"/>
      <c r="E41" s="78"/>
      <c r="F41" s="78"/>
      <c r="G41" s="79"/>
      <c r="H41" s="108">
        <v>700</v>
      </c>
      <c r="I41" s="109"/>
      <c r="J41" s="5">
        <f>SUM(H41:I42)</f>
        <v>800</v>
      </c>
      <c r="K41" s="1" t="s">
        <v>58</v>
      </c>
    </row>
    <row r="42" spans="1:11" x14ac:dyDescent="0.3">
      <c r="A42" s="6"/>
      <c r="B42" s="95" t="s">
        <v>57</v>
      </c>
      <c r="C42" s="96"/>
      <c r="D42" s="96"/>
      <c r="E42" s="96"/>
      <c r="F42" s="96"/>
      <c r="G42" s="97"/>
      <c r="H42" s="110">
        <v>100</v>
      </c>
      <c r="I42" s="111"/>
      <c r="K42" s="12">
        <f>SUM(H36:I42)</f>
        <v>1200</v>
      </c>
    </row>
    <row r="43" spans="1:11" x14ac:dyDescent="0.3">
      <c r="A43" s="7" t="s">
        <v>59</v>
      </c>
      <c r="B43" s="92" t="s">
        <v>79</v>
      </c>
      <c r="C43" s="81"/>
      <c r="D43" s="81"/>
      <c r="E43" s="81"/>
      <c r="F43" s="81"/>
      <c r="G43" s="82"/>
      <c r="H43" s="106">
        <v>-300</v>
      </c>
      <c r="I43" s="107"/>
      <c r="J43" s="5">
        <f>SUM(H43:I44)</f>
        <v>200</v>
      </c>
    </row>
    <row r="44" spans="1:11" x14ac:dyDescent="0.3">
      <c r="A44" s="7" t="s">
        <v>60</v>
      </c>
      <c r="B44" s="92" t="s">
        <v>61</v>
      </c>
      <c r="C44" s="81"/>
      <c r="D44" s="81"/>
      <c r="E44" s="81"/>
      <c r="F44" s="81"/>
      <c r="G44" s="82"/>
      <c r="H44" s="106">
        <v>500</v>
      </c>
      <c r="I44" s="107"/>
    </row>
    <row r="45" spans="1:11" x14ac:dyDescent="0.3">
      <c r="A45" s="4" t="s">
        <v>62</v>
      </c>
      <c r="B45" s="125" t="s">
        <v>87</v>
      </c>
      <c r="C45" s="126"/>
      <c r="D45" s="126"/>
      <c r="E45" s="126"/>
      <c r="F45" s="126"/>
      <c r="G45" s="127"/>
      <c r="H45" s="117">
        <v>-600</v>
      </c>
      <c r="I45" s="118"/>
      <c r="J45" s="5">
        <f>SUM(H45:I46)</f>
        <v>-100</v>
      </c>
    </row>
    <row r="46" spans="1:11" x14ac:dyDescent="0.3">
      <c r="A46" s="6"/>
      <c r="B46" s="95" t="s">
        <v>63</v>
      </c>
      <c r="C46" s="96"/>
      <c r="D46" s="96"/>
      <c r="E46" s="96"/>
      <c r="F46" s="96"/>
      <c r="G46" s="97"/>
      <c r="H46" s="110">
        <v>500</v>
      </c>
      <c r="I46" s="111"/>
    </row>
    <row r="47" spans="1:11" x14ac:dyDescent="0.3">
      <c r="A47" s="7" t="s">
        <v>64</v>
      </c>
      <c r="B47" s="92" t="s">
        <v>87</v>
      </c>
      <c r="C47" s="81"/>
      <c r="D47" s="81"/>
      <c r="E47" s="81"/>
      <c r="F47" s="81"/>
      <c r="G47" s="82"/>
      <c r="H47" s="106">
        <v>-300</v>
      </c>
      <c r="I47" s="107"/>
      <c r="J47" s="5">
        <f>SUM(H47:I49)</f>
        <v>200</v>
      </c>
    </row>
    <row r="48" spans="1:11" x14ac:dyDescent="0.3">
      <c r="A48" s="4" t="s">
        <v>65</v>
      </c>
      <c r="B48" s="77" t="s">
        <v>63</v>
      </c>
      <c r="C48" s="78"/>
      <c r="D48" s="78"/>
      <c r="E48" s="78"/>
      <c r="F48" s="78"/>
      <c r="G48" s="79"/>
      <c r="H48" s="108">
        <v>400</v>
      </c>
      <c r="I48" s="109"/>
      <c r="J48" s="5">
        <f>SUM(H48:I49)</f>
        <v>500</v>
      </c>
    </row>
    <row r="49" spans="1:14" x14ac:dyDescent="0.3">
      <c r="A49" s="6"/>
      <c r="B49" s="95" t="s">
        <v>66</v>
      </c>
      <c r="C49" s="96"/>
      <c r="D49" s="96"/>
      <c r="E49" s="96"/>
      <c r="F49" s="96"/>
      <c r="G49" s="97"/>
      <c r="H49" s="110">
        <v>100</v>
      </c>
      <c r="I49" s="111"/>
    </row>
    <row r="50" spans="1:14" x14ac:dyDescent="0.3">
      <c r="A50" s="4" t="s">
        <v>67</v>
      </c>
      <c r="B50" s="125" t="s">
        <v>68</v>
      </c>
      <c r="C50" s="126"/>
      <c r="D50" s="126"/>
      <c r="E50" s="126"/>
      <c r="F50" s="126"/>
      <c r="G50" s="127"/>
      <c r="H50" s="117">
        <v>300</v>
      </c>
      <c r="I50" s="118"/>
      <c r="J50" s="5">
        <f>SUM(H50:I52)</f>
        <v>100</v>
      </c>
    </row>
    <row r="51" spans="1:14" x14ac:dyDescent="0.3">
      <c r="A51" s="4"/>
      <c r="B51" s="77" t="s">
        <v>88</v>
      </c>
      <c r="C51" s="78"/>
      <c r="D51" s="78"/>
      <c r="E51" s="78"/>
      <c r="F51" s="78"/>
      <c r="G51" s="79"/>
      <c r="H51" s="108">
        <v>-300</v>
      </c>
      <c r="I51" s="109"/>
      <c r="K51" s="1" t="s">
        <v>70</v>
      </c>
      <c r="M51" s="8" t="s">
        <v>71</v>
      </c>
    </row>
    <row r="52" spans="1:14" ht="15" thickBot="1" x14ac:dyDescent="0.35">
      <c r="A52" s="11"/>
      <c r="B52" s="104" t="s">
        <v>69</v>
      </c>
      <c r="C52" s="75"/>
      <c r="D52" s="75"/>
      <c r="E52" s="75"/>
      <c r="F52" s="75"/>
      <c r="G52" s="105"/>
      <c r="H52" s="113">
        <v>100</v>
      </c>
      <c r="I52" s="114"/>
      <c r="K52" s="12">
        <f>SUM(H43:I52)</f>
        <v>400</v>
      </c>
      <c r="M52" s="9">
        <f>K35+K42+K52</f>
        <v>4900</v>
      </c>
      <c r="N52" t="s">
        <v>148</v>
      </c>
    </row>
    <row r="53" spans="1:14" x14ac:dyDescent="0.3">
      <c r="A53" s="13" t="s">
        <v>72</v>
      </c>
      <c r="B53" s="85" t="s">
        <v>89</v>
      </c>
      <c r="C53" s="86"/>
      <c r="D53" s="86"/>
      <c r="E53" s="86"/>
      <c r="F53" s="86"/>
      <c r="G53" s="87"/>
      <c r="H53" s="133">
        <v>0</v>
      </c>
      <c r="I53" s="134"/>
      <c r="J53" s="5">
        <f>SUM(H53:I54)</f>
        <v>300</v>
      </c>
    </row>
    <row r="54" spans="1:14" x14ac:dyDescent="0.3">
      <c r="A54" s="7" t="s">
        <v>73</v>
      </c>
      <c r="B54" s="92" t="s">
        <v>68</v>
      </c>
      <c r="C54" s="81"/>
      <c r="D54" s="81"/>
      <c r="E54" s="81"/>
      <c r="F54" s="81"/>
      <c r="G54" s="82"/>
      <c r="H54" s="106">
        <v>300</v>
      </c>
      <c r="I54" s="107"/>
    </row>
    <row r="55" spans="1:14" x14ac:dyDescent="0.3">
      <c r="A55" s="4" t="s">
        <v>74</v>
      </c>
      <c r="B55" s="125" t="s">
        <v>75</v>
      </c>
      <c r="C55" s="126"/>
      <c r="D55" s="126"/>
      <c r="E55" s="126"/>
      <c r="F55" s="126"/>
      <c r="G55" s="127"/>
      <c r="H55" s="117">
        <v>300</v>
      </c>
      <c r="I55" s="118"/>
      <c r="J55" s="5">
        <f>SUM(H55:I56)</f>
        <v>500</v>
      </c>
    </row>
    <row r="56" spans="1:14" x14ac:dyDescent="0.3">
      <c r="A56" s="6"/>
      <c r="B56" s="95" t="s">
        <v>8</v>
      </c>
      <c r="C56" s="96"/>
      <c r="D56" s="96"/>
      <c r="E56" s="96"/>
      <c r="F56" s="96"/>
      <c r="G56" s="97"/>
      <c r="H56" s="110">
        <v>200</v>
      </c>
      <c r="I56" s="111"/>
    </row>
    <row r="57" spans="1:14" x14ac:dyDescent="0.3">
      <c r="A57" s="7" t="s">
        <v>76</v>
      </c>
      <c r="B57" s="92" t="s">
        <v>90</v>
      </c>
      <c r="C57" s="81"/>
      <c r="D57" s="81"/>
      <c r="E57" s="81"/>
      <c r="F57" s="81"/>
      <c r="G57" s="82"/>
      <c r="H57" s="106">
        <v>-200</v>
      </c>
      <c r="I57" s="107"/>
      <c r="J57" s="5">
        <f>SUM(H57+H58)</f>
        <v>100</v>
      </c>
    </row>
    <row r="58" spans="1:14" x14ac:dyDescent="0.3">
      <c r="A58" s="7" t="s">
        <v>91</v>
      </c>
      <c r="B58" s="92" t="s">
        <v>92</v>
      </c>
      <c r="C58" s="81"/>
      <c r="D58" s="81"/>
      <c r="E58" s="81"/>
      <c r="F58" s="81"/>
      <c r="G58" s="82"/>
      <c r="H58" s="106">
        <v>300</v>
      </c>
      <c r="I58" s="107"/>
    </row>
    <row r="59" spans="1:14" x14ac:dyDescent="0.3">
      <c r="A59" s="7" t="s">
        <v>93</v>
      </c>
      <c r="B59" s="92" t="s">
        <v>94</v>
      </c>
      <c r="C59" s="81"/>
      <c r="D59" s="81"/>
      <c r="E59" s="81"/>
      <c r="F59" s="81"/>
      <c r="G59" s="82"/>
      <c r="H59" s="106">
        <v>-200</v>
      </c>
      <c r="I59" s="107"/>
    </row>
    <row r="60" spans="1:14" x14ac:dyDescent="0.3">
      <c r="A60" s="4" t="s">
        <v>95</v>
      </c>
      <c r="B60" s="77" t="s">
        <v>96</v>
      </c>
      <c r="C60" s="78"/>
      <c r="D60" s="78"/>
      <c r="E60" s="78"/>
      <c r="F60" s="78"/>
      <c r="G60" s="79"/>
      <c r="H60" s="108">
        <v>-200</v>
      </c>
      <c r="I60" s="109"/>
      <c r="J60" s="5">
        <f>SUM(H60+H61)</f>
        <v>200</v>
      </c>
    </row>
    <row r="61" spans="1:14" x14ac:dyDescent="0.3">
      <c r="A61" s="6"/>
      <c r="B61" s="95" t="s">
        <v>92</v>
      </c>
      <c r="C61" s="96"/>
      <c r="D61" s="96"/>
      <c r="E61" s="96"/>
      <c r="F61" s="96"/>
      <c r="G61" s="97"/>
      <c r="H61" s="110">
        <v>400</v>
      </c>
      <c r="I61" s="111"/>
    </row>
    <row r="62" spans="1:14" x14ac:dyDescent="0.3">
      <c r="A62" s="7" t="s">
        <v>97</v>
      </c>
      <c r="B62" s="92" t="s">
        <v>98</v>
      </c>
      <c r="C62" s="81"/>
      <c r="D62" s="81"/>
      <c r="E62" s="81"/>
      <c r="F62" s="81"/>
      <c r="G62" s="82"/>
      <c r="H62" s="106">
        <v>-100</v>
      </c>
      <c r="I62" s="107"/>
    </row>
    <row r="63" spans="1:14" x14ac:dyDescent="0.3">
      <c r="A63" s="4" t="s">
        <v>99</v>
      </c>
      <c r="B63" s="77" t="s">
        <v>90</v>
      </c>
      <c r="C63" s="78"/>
      <c r="D63" s="78"/>
      <c r="E63" s="78"/>
      <c r="F63" s="78"/>
      <c r="G63" s="79"/>
      <c r="H63" s="108">
        <v>-200</v>
      </c>
      <c r="I63" s="109"/>
      <c r="J63" s="5">
        <f>SUM(H63:I66)</f>
        <v>-400</v>
      </c>
    </row>
    <row r="64" spans="1:14" x14ac:dyDescent="0.3">
      <c r="A64" s="4"/>
      <c r="B64" s="77" t="s">
        <v>100</v>
      </c>
      <c r="C64" s="78"/>
      <c r="D64" s="78"/>
      <c r="E64" s="78"/>
      <c r="F64" s="78"/>
      <c r="G64" s="79"/>
      <c r="H64" s="108">
        <v>-300</v>
      </c>
      <c r="I64" s="109"/>
    </row>
    <row r="65" spans="1:14" x14ac:dyDescent="0.3">
      <c r="A65" s="6"/>
      <c r="B65" s="95" t="s">
        <v>98</v>
      </c>
      <c r="C65" s="96"/>
      <c r="D65" s="96"/>
      <c r="E65" s="96"/>
      <c r="F65" s="96"/>
      <c r="G65" s="97"/>
      <c r="H65" s="110">
        <v>-100</v>
      </c>
      <c r="I65" s="111"/>
    </row>
    <row r="66" spans="1:14" x14ac:dyDescent="0.3">
      <c r="A66" s="7" t="s">
        <v>101</v>
      </c>
      <c r="B66" s="92" t="s">
        <v>102</v>
      </c>
      <c r="C66" s="81"/>
      <c r="D66" s="81"/>
      <c r="E66" s="81"/>
      <c r="F66" s="81"/>
      <c r="G66" s="82"/>
      <c r="H66" s="106">
        <v>200</v>
      </c>
      <c r="I66" s="107"/>
    </row>
    <row r="67" spans="1:14" x14ac:dyDescent="0.3">
      <c r="A67" s="4" t="s">
        <v>103</v>
      </c>
      <c r="B67" s="77" t="s">
        <v>104</v>
      </c>
      <c r="C67" s="78"/>
      <c r="D67" s="78"/>
      <c r="E67" s="78"/>
      <c r="F67" s="78"/>
      <c r="G67" s="79"/>
      <c r="H67" s="135">
        <v>-800</v>
      </c>
      <c r="I67" s="136"/>
      <c r="J67" s="5"/>
    </row>
    <row r="68" spans="1:14" x14ac:dyDescent="0.3">
      <c r="A68" s="6"/>
      <c r="B68" s="95" t="s">
        <v>69</v>
      </c>
      <c r="C68" s="96"/>
      <c r="D68" s="96"/>
      <c r="E68" s="96"/>
      <c r="F68" s="96"/>
      <c r="G68" s="97"/>
      <c r="H68" s="110">
        <v>800</v>
      </c>
      <c r="I68" s="111"/>
      <c r="K68" s="1" t="s">
        <v>115</v>
      </c>
    </row>
    <row r="69" spans="1:14" x14ac:dyDescent="0.3">
      <c r="A69" s="7" t="s">
        <v>105</v>
      </c>
      <c r="B69" s="92" t="s">
        <v>79</v>
      </c>
      <c r="C69" s="81"/>
      <c r="D69" s="81"/>
      <c r="E69" s="81"/>
      <c r="F69" s="81"/>
      <c r="G69" s="82"/>
      <c r="H69" s="106">
        <v>-300</v>
      </c>
      <c r="I69" s="107"/>
      <c r="K69" s="12">
        <f>SUM(H53:I69)</f>
        <v>100</v>
      </c>
    </row>
    <row r="70" spans="1:14" x14ac:dyDescent="0.3">
      <c r="A70" s="7" t="s">
        <v>106</v>
      </c>
      <c r="B70" s="92" t="s">
        <v>107</v>
      </c>
      <c r="C70" s="81"/>
      <c r="D70" s="81"/>
      <c r="E70" s="81"/>
      <c r="F70" s="81"/>
      <c r="G70" s="82"/>
      <c r="H70" s="106">
        <v>-1000</v>
      </c>
      <c r="I70" s="107"/>
    </row>
    <row r="71" spans="1:14" x14ac:dyDescent="0.3">
      <c r="A71" s="7" t="s">
        <v>108</v>
      </c>
      <c r="B71" s="92" t="s">
        <v>109</v>
      </c>
      <c r="C71" s="81"/>
      <c r="D71" s="81"/>
      <c r="E71" s="81"/>
      <c r="F71" s="81"/>
      <c r="G71" s="82"/>
      <c r="H71" s="106">
        <v>-1000</v>
      </c>
      <c r="I71" s="107"/>
      <c r="J71" s="5">
        <f>SUM(H71:I73)</f>
        <v>-550</v>
      </c>
    </row>
    <row r="72" spans="1:14" x14ac:dyDescent="0.3">
      <c r="A72" s="4" t="s">
        <v>110</v>
      </c>
      <c r="B72" s="77" t="s">
        <v>109</v>
      </c>
      <c r="C72" s="78"/>
      <c r="D72" s="78"/>
      <c r="E72" s="78"/>
      <c r="F72" s="78"/>
      <c r="G72" s="79"/>
      <c r="H72" s="108">
        <v>-350</v>
      </c>
      <c r="I72" s="109"/>
      <c r="J72" s="5">
        <f>H72+H73</f>
        <v>450</v>
      </c>
    </row>
    <row r="73" spans="1:14" x14ac:dyDescent="0.3">
      <c r="A73" s="6"/>
      <c r="B73" s="95" t="s">
        <v>69</v>
      </c>
      <c r="C73" s="96"/>
      <c r="D73" s="96"/>
      <c r="E73" s="96"/>
      <c r="F73" s="96"/>
      <c r="G73" s="97"/>
      <c r="H73" s="110">
        <v>800</v>
      </c>
      <c r="I73" s="111"/>
    </row>
    <row r="74" spans="1:14" x14ac:dyDescent="0.3">
      <c r="A74" s="7" t="s">
        <v>111</v>
      </c>
      <c r="B74" s="92" t="s">
        <v>112</v>
      </c>
      <c r="C74" s="81"/>
      <c r="D74" s="81"/>
      <c r="E74" s="81"/>
      <c r="F74" s="81"/>
      <c r="G74" s="82"/>
      <c r="H74" s="106">
        <v>-1000</v>
      </c>
      <c r="I74" s="107"/>
    </row>
    <row r="75" spans="1:14" x14ac:dyDescent="0.3">
      <c r="A75" s="7" t="s">
        <v>113</v>
      </c>
      <c r="B75" s="92" t="s">
        <v>109</v>
      </c>
      <c r="C75" s="81"/>
      <c r="D75" s="81"/>
      <c r="E75" s="81"/>
      <c r="F75" s="81"/>
      <c r="G75" s="82"/>
      <c r="H75" s="106">
        <v>-900</v>
      </c>
      <c r="I75" s="107"/>
      <c r="J75" s="5">
        <f>SUM(H75:I77)</f>
        <v>-600</v>
      </c>
    </row>
    <row r="76" spans="1:14" x14ac:dyDescent="0.3">
      <c r="A76" s="4" t="s">
        <v>114</v>
      </c>
      <c r="B76" s="77" t="s">
        <v>109</v>
      </c>
      <c r="C76" s="78"/>
      <c r="D76" s="78"/>
      <c r="E76" s="78"/>
      <c r="F76" s="78"/>
      <c r="G76" s="79"/>
      <c r="H76" s="108">
        <v>-200</v>
      </c>
      <c r="I76" s="109"/>
      <c r="J76" s="5">
        <f>H76+H77</f>
        <v>300</v>
      </c>
      <c r="K76" s="1" t="s">
        <v>116</v>
      </c>
      <c r="M76" s="8" t="s">
        <v>117</v>
      </c>
    </row>
    <row r="77" spans="1:14" ht="15" thickBot="1" x14ac:dyDescent="0.35">
      <c r="A77" s="11"/>
      <c r="B77" s="104" t="s">
        <v>69</v>
      </c>
      <c r="C77" s="75"/>
      <c r="D77" s="75"/>
      <c r="E77" s="75"/>
      <c r="F77" s="75"/>
      <c r="G77" s="105"/>
      <c r="H77" s="113">
        <v>500</v>
      </c>
      <c r="I77" s="114"/>
      <c r="K77" s="12">
        <f>SUM(H70:I77)</f>
        <v>-3150</v>
      </c>
      <c r="M77" s="9">
        <f>K69+K77</f>
        <v>-3050</v>
      </c>
      <c r="N77" t="s">
        <v>149</v>
      </c>
    </row>
    <row r="78" spans="1:14" x14ac:dyDescent="0.3">
      <c r="A78" s="13" t="s">
        <v>118</v>
      </c>
      <c r="B78" s="85" t="s">
        <v>109</v>
      </c>
      <c r="C78" s="86"/>
      <c r="D78" s="86"/>
      <c r="E78" s="86"/>
      <c r="F78" s="86"/>
      <c r="G78" s="87"/>
      <c r="H78" s="133">
        <v>-700</v>
      </c>
      <c r="I78" s="134"/>
      <c r="J78" s="5">
        <f>SUM(H78:I80)</f>
        <v>-700</v>
      </c>
    </row>
    <row r="79" spans="1:14" x14ac:dyDescent="0.3">
      <c r="A79" s="7" t="s">
        <v>119</v>
      </c>
      <c r="B79" s="92" t="s">
        <v>120</v>
      </c>
      <c r="C79" s="81"/>
      <c r="D79" s="81"/>
      <c r="E79" s="81"/>
      <c r="F79" s="81"/>
      <c r="G79" s="82"/>
      <c r="H79" s="106">
        <v>-500</v>
      </c>
      <c r="I79" s="107"/>
    </row>
    <row r="80" spans="1:14" x14ac:dyDescent="0.3">
      <c r="A80" s="7" t="s">
        <v>121</v>
      </c>
      <c r="B80" s="92" t="s">
        <v>122</v>
      </c>
      <c r="C80" s="81"/>
      <c r="D80" s="81"/>
      <c r="E80" s="81"/>
      <c r="F80" s="81"/>
      <c r="G80" s="82"/>
      <c r="H80" s="106">
        <v>500</v>
      </c>
      <c r="I80" s="107"/>
    </row>
    <row r="81" spans="1:13" x14ac:dyDescent="0.3">
      <c r="A81" s="7" t="s">
        <v>123</v>
      </c>
      <c r="B81" s="92" t="s">
        <v>109</v>
      </c>
      <c r="C81" s="81"/>
      <c r="D81" s="81"/>
      <c r="E81" s="81"/>
      <c r="F81" s="81"/>
      <c r="G81" s="82"/>
      <c r="H81" s="106">
        <v>-300</v>
      </c>
      <c r="I81" s="107"/>
      <c r="J81" s="5">
        <f>SUM(H81:I83)</f>
        <v>-100</v>
      </c>
    </row>
    <row r="82" spans="1:13" x14ac:dyDescent="0.3">
      <c r="A82" s="7" t="s">
        <v>124</v>
      </c>
      <c r="B82" s="92" t="s">
        <v>109</v>
      </c>
      <c r="C82" s="81"/>
      <c r="D82" s="81"/>
      <c r="E82" s="81"/>
      <c r="F82" s="81"/>
      <c r="G82" s="82"/>
      <c r="H82" s="106">
        <v>-500</v>
      </c>
      <c r="I82" s="107"/>
    </row>
    <row r="83" spans="1:13" x14ac:dyDescent="0.3">
      <c r="A83" s="14" t="s">
        <v>125</v>
      </c>
      <c r="B83" s="92" t="s">
        <v>122</v>
      </c>
      <c r="C83" s="81"/>
      <c r="D83" s="81"/>
      <c r="E83" s="81"/>
      <c r="F83" s="81"/>
      <c r="G83" s="82"/>
      <c r="H83" s="106">
        <v>700</v>
      </c>
      <c r="I83" s="107"/>
    </row>
    <row r="84" spans="1:13" x14ac:dyDescent="0.3">
      <c r="A84" s="14" t="s">
        <v>126</v>
      </c>
      <c r="B84" s="92" t="s">
        <v>75</v>
      </c>
      <c r="C84" s="81"/>
      <c r="D84" s="81"/>
      <c r="E84" s="81"/>
      <c r="F84" s="81"/>
      <c r="G84" s="82"/>
      <c r="H84" s="106">
        <v>500</v>
      </c>
      <c r="I84" s="107"/>
      <c r="J84" s="5">
        <f>SUM(H84:I85)</f>
        <v>1300</v>
      </c>
    </row>
    <row r="85" spans="1:13" x14ac:dyDescent="0.3">
      <c r="A85" s="14" t="s">
        <v>127</v>
      </c>
      <c r="B85" s="92" t="s">
        <v>122</v>
      </c>
      <c r="C85" s="81"/>
      <c r="D85" s="81"/>
      <c r="E85" s="81"/>
      <c r="F85" s="81"/>
      <c r="G85" s="82"/>
      <c r="H85" s="106">
        <v>800</v>
      </c>
      <c r="I85" s="107"/>
      <c r="K85" s="1" t="s">
        <v>129</v>
      </c>
    </row>
    <row r="86" spans="1:13" x14ac:dyDescent="0.3">
      <c r="A86" s="14" t="s">
        <v>128</v>
      </c>
      <c r="B86" s="92" t="s">
        <v>109</v>
      </c>
      <c r="C86" s="81"/>
      <c r="D86" s="81"/>
      <c r="E86" s="81"/>
      <c r="F86" s="81"/>
      <c r="G86" s="82"/>
      <c r="H86" s="106">
        <v>-400</v>
      </c>
      <c r="I86" s="107"/>
      <c r="J86" s="5">
        <f>SUM(H86:I87)</f>
        <v>800</v>
      </c>
      <c r="K86" s="12">
        <f>SUM(H78:I86)</f>
        <v>100</v>
      </c>
    </row>
    <row r="87" spans="1:13" x14ac:dyDescent="0.3">
      <c r="A87" s="14" t="s">
        <v>130</v>
      </c>
      <c r="B87" s="92" t="s">
        <v>122</v>
      </c>
      <c r="C87" s="81"/>
      <c r="D87" s="81"/>
      <c r="E87" s="81"/>
      <c r="F87" s="81"/>
      <c r="G87" s="82"/>
      <c r="H87" s="106">
        <v>1200</v>
      </c>
      <c r="I87" s="107"/>
    </row>
    <row r="88" spans="1:13" x14ac:dyDescent="0.3">
      <c r="A88" s="14" t="s">
        <v>131</v>
      </c>
      <c r="B88" s="92" t="s">
        <v>109</v>
      </c>
      <c r="C88" s="81"/>
      <c r="D88" s="81"/>
      <c r="E88" s="81"/>
      <c r="F88" s="81"/>
      <c r="G88" s="82"/>
      <c r="H88" s="106">
        <v>-1200</v>
      </c>
      <c r="I88" s="107"/>
      <c r="J88" s="5">
        <f>SUM(H88:I90)</f>
        <v>-300</v>
      </c>
    </row>
    <row r="89" spans="1:13" x14ac:dyDescent="0.3">
      <c r="A89" s="14" t="s">
        <v>132</v>
      </c>
      <c r="B89" s="92" t="s">
        <v>133</v>
      </c>
      <c r="C89" s="81"/>
      <c r="D89" s="81"/>
      <c r="E89" s="81"/>
      <c r="F89" s="81"/>
      <c r="G89" s="82"/>
      <c r="H89" s="106">
        <v>-700</v>
      </c>
      <c r="I89" s="107"/>
    </row>
    <row r="90" spans="1:13" x14ac:dyDescent="0.3">
      <c r="A90" s="14" t="s">
        <v>134</v>
      </c>
      <c r="B90" s="92" t="s">
        <v>122</v>
      </c>
      <c r="C90" s="81"/>
      <c r="D90" s="81"/>
      <c r="E90" s="81"/>
      <c r="F90" s="81"/>
      <c r="G90" s="82"/>
      <c r="H90" s="106">
        <v>1600</v>
      </c>
      <c r="I90" s="107"/>
    </row>
    <row r="91" spans="1:13" x14ac:dyDescent="0.3">
      <c r="A91" s="14" t="s">
        <v>135</v>
      </c>
      <c r="B91" s="92" t="s">
        <v>109</v>
      </c>
      <c r="C91" s="81"/>
      <c r="D91" s="81"/>
      <c r="E91" s="81"/>
      <c r="F91" s="81"/>
      <c r="G91" s="82"/>
      <c r="H91" s="106">
        <v>-300</v>
      </c>
      <c r="I91" s="107"/>
      <c r="J91" s="5"/>
    </row>
    <row r="92" spans="1:13" x14ac:dyDescent="0.3">
      <c r="A92" s="14" t="s">
        <v>136</v>
      </c>
      <c r="B92" s="92" t="s">
        <v>109</v>
      </c>
      <c r="C92" s="81"/>
      <c r="D92" s="81"/>
      <c r="E92" s="81"/>
      <c r="F92" s="81"/>
      <c r="G92" s="82"/>
      <c r="H92" s="106">
        <v>-400</v>
      </c>
      <c r="I92" s="107"/>
      <c r="J92" s="5">
        <f>H92+H93</f>
        <v>700</v>
      </c>
      <c r="K92" s="1" t="s">
        <v>139</v>
      </c>
    </row>
    <row r="93" spans="1:13" x14ac:dyDescent="0.3">
      <c r="A93" s="14" t="s">
        <v>137</v>
      </c>
      <c r="B93" s="92" t="s">
        <v>122</v>
      </c>
      <c r="C93" s="81"/>
      <c r="D93" s="81"/>
      <c r="E93" s="81"/>
      <c r="F93" s="81"/>
      <c r="G93" s="82"/>
      <c r="H93" s="106">
        <v>1100</v>
      </c>
      <c r="I93" s="107"/>
      <c r="K93" s="12">
        <f>SUM(H87:I93)</f>
        <v>1300</v>
      </c>
    </row>
    <row r="94" spans="1:13" x14ac:dyDescent="0.3">
      <c r="A94" s="14" t="s">
        <v>138</v>
      </c>
      <c r="B94" s="92" t="s">
        <v>122</v>
      </c>
      <c r="C94" s="81"/>
      <c r="D94" s="81"/>
      <c r="E94" s="81"/>
      <c r="F94" s="81"/>
      <c r="G94" s="82"/>
      <c r="H94" s="106">
        <v>1300</v>
      </c>
      <c r="I94" s="107"/>
      <c r="M94" s="5"/>
    </row>
    <row r="95" spans="1:13" x14ac:dyDescent="0.3">
      <c r="A95" s="14" t="s">
        <v>140</v>
      </c>
      <c r="B95" s="92" t="s">
        <v>109</v>
      </c>
      <c r="C95" s="81"/>
      <c r="D95" s="81"/>
      <c r="E95" s="81"/>
      <c r="F95" s="81"/>
      <c r="G95" s="82"/>
      <c r="H95" s="106">
        <v>-300</v>
      </c>
      <c r="I95" s="107"/>
      <c r="J95" s="5">
        <f>SUM(H95:I99)</f>
        <v>-1350</v>
      </c>
      <c r="M95" s="5"/>
    </row>
    <row r="96" spans="1:13" x14ac:dyDescent="0.3">
      <c r="A96" s="14" t="s">
        <v>141</v>
      </c>
      <c r="B96" s="92" t="s">
        <v>142</v>
      </c>
      <c r="C96" s="81"/>
      <c r="D96" s="81"/>
      <c r="E96" s="81"/>
      <c r="F96" s="81"/>
      <c r="G96" s="82"/>
      <c r="H96" s="106">
        <v>-300</v>
      </c>
      <c r="I96" s="107"/>
    </row>
    <row r="97" spans="1:14" x14ac:dyDescent="0.3">
      <c r="A97" s="14" t="s">
        <v>143</v>
      </c>
      <c r="B97" s="92" t="s">
        <v>109</v>
      </c>
      <c r="C97" s="81"/>
      <c r="D97" s="81"/>
      <c r="E97" s="81"/>
      <c r="F97" s="81"/>
      <c r="G97" s="82"/>
      <c r="H97" s="106">
        <v>-800</v>
      </c>
      <c r="I97" s="107"/>
    </row>
    <row r="98" spans="1:14" x14ac:dyDescent="0.3">
      <c r="A98" s="14" t="s">
        <v>144</v>
      </c>
      <c r="B98" s="92" t="s">
        <v>150</v>
      </c>
      <c r="C98" s="81"/>
      <c r="D98" s="81"/>
      <c r="E98" s="81"/>
      <c r="F98" s="81"/>
      <c r="G98" s="82"/>
      <c r="H98" s="106">
        <v>-1050</v>
      </c>
      <c r="I98" s="107"/>
    </row>
    <row r="99" spans="1:14" x14ac:dyDescent="0.3">
      <c r="A99" s="14" t="s">
        <v>145</v>
      </c>
      <c r="B99" s="92" t="s">
        <v>146</v>
      </c>
      <c r="C99" s="81"/>
      <c r="D99" s="81"/>
      <c r="E99" s="81"/>
      <c r="F99" s="81"/>
      <c r="G99" s="82"/>
      <c r="H99" s="106">
        <v>1100</v>
      </c>
      <c r="I99" s="107"/>
    </row>
    <row r="100" spans="1:14" x14ac:dyDescent="0.3">
      <c r="A100" s="16" t="s">
        <v>151</v>
      </c>
      <c r="B100" s="125" t="s">
        <v>152</v>
      </c>
      <c r="C100" s="126"/>
      <c r="D100" s="126"/>
      <c r="E100" s="126"/>
      <c r="F100" s="126"/>
      <c r="G100" s="126"/>
      <c r="H100" s="117">
        <v>300</v>
      </c>
      <c r="I100" s="118"/>
      <c r="J100" s="5">
        <f>SUM(H100:I102)</f>
        <v>600</v>
      </c>
    </row>
    <row r="101" spans="1:14" x14ac:dyDescent="0.3">
      <c r="A101" s="16"/>
      <c r="B101" s="77" t="s">
        <v>153</v>
      </c>
      <c r="C101" s="78"/>
      <c r="D101" s="78"/>
      <c r="E101" s="78"/>
      <c r="F101" s="78"/>
      <c r="G101" s="79"/>
      <c r="H101" s="108">
        <v>200</v>
      </c>
      <c r="I101" s="112"/>
      <c r="J101" s="15"/>
    </row>
    <row r="102" spans="1:14" x14ac:dyDescent="0.3">
      <c r="A102" s="17"/>
      <c r="B102" s="95" t="s">
        <v>77</v>
      </c>
      <c r="C102" s="96"/>
      <c r="D102" s="96"/>
      <c r="E102" s="96"/>
      <c r="F102" s="96"/>
      <c r="G102" s="97"/>
      <c r="H102" s="110">
        <v>100</v>
      </c>
      <c r="I102" s="111"/>
      <c r="J102" s="15"/>
    </row>
    <row r="103" spans="1:14" x14ac:dyDescent="0.3">
      <c r="A103" s="18" t="s">
        <v>154</v>
      </c>
      <c r="B103" s="81" t="s">
        <v>153</v>
      </c>
      <c r="C103" s="81"/>
      <c r="D103" s="81"/>
      <c r="E103" s="81"/>
      <c r="F103" s="81"/>
      <c r="G103" s="81"/>
      <c r="H103" s="106">
        <v>300</v>
      </c>
      <c r="I103" s="107"/>
    </row>
    <row r="104" spans="1:14" x14ac:dyDescent="0.3">
      <c r="A104" s="19" t="s">
        <v>155</v>
      </c>
      <c r="B104" s="126" t="s">
        <v>156</v>
      </c>
      <c r="C104" s="126"/>
      <c r="D104" s="126"/>
      <c r="E104" s="126"/>
      <c r="F104" s="126"/>
      <c r="G104" s="127"/>
      <c r="H104" s="119">
        <v>5000</v>
      </c>
      <c r="I104" s="118"/>
      <c r="J104" s="5">
        <f>SUM(H104:I106)</f>
        <v>12000</v>
      </c>
    </row>
    <row r="105" spans="1:14" x14ac:dyDescent="0.3">
      <c r="A105" s="20"/>
      <c r="B105" s="78" t="s">
        <v>157</v>
      </c>
      <c r="C105" s="78"/>
      <c r="D105" s="78"/>
      <c r="E105" s="78"/>
      <c r="F105" s="78"/>
      <c r="G105" s="79"/>
      <c r="H105" s="112">
        <v>2000</v>
      </c>
      <c r="I105" s="109"/>
      <c r="K105" s="1" t="s">
        <v>159</v>
      </c>
      <c r="M105" s="22" t="s">
        <v>160</v>
      </c>
    </row>
    <row r="106" spans="1:14" x14ac:dyDescent="0.3">
      <c r="A106" s="21"/>
      <c r="B106" s="96" t="s">
        <v>158</v>
      </c>
      <c r="C106" s="96"/>
      <c r="D106" s="96"/>
      <c r="E106" s="96"/>
      <c r="F106" s="96"/>
      <c r="G106" s="97"/>
      <c r="H106" s="158">
        <v>5000</v>
      </c>
      <c r="I106" s="111"/>
      <c r="K106" s="12">
        <f>SUM(H94:I106)</f>
        <v>12850</v>
      </c>
      <c r="M106" s="23">
        <f>K86+K93+K106</f>
        <v>14250</v>
      </c>
      <c r="N106" t="s">
        <v>161</v>
      </c>
    </row>
    <row r="107" spans="1:14" ht="15" thickBot="1" x14ac:dyDescent="0.35"/>
    <row r="108" spans="1:14" x14ac:dyDescent="0.3">
      <c r="A108" s="24" t="s">
        <v>155</v>
      </c>
      <c r="B108" s="85" t="s">
        <v>162</v>
      </c>
      <c r="C108" s="86"/>
      <c r="D108" s="86"/>
      <c r="E108" s="86"/>
      <c r="F108" s="86"/>
      <c r="G108" s="87"/>
      <c r="H108" s="150">
        <f>SUMIF(H4:I106,"&gt;0")</f>
        <v>36700</v>
      </c>
      <c r="I108" s="151"/>
      <c r="K108" s="1" t="s">
        <v>164</v>
      </c>
    </row>
    <row r="109" spans="1:14" ht="15" thickBot="1" x14ac:dyDescent="0.35">
      <c r="A109" s="25" t="s">
        <v>155</v>
      </c>
      <c r="B109" s="104" t="s">
        <v>163</v>
      </c>
      <c r="C109" s="75"/>
      <c r="D109" s="75"/>
      <c r="E109" s="75"/>
      <c r="F109" s="75"/>
      <c r="G109" s="105"/>
      <c r="H109" s="152">
        <f>SUMIF(H4:I106,"&lt;0")</f>
        <v>-18000</v>
      </c>
      <c r="I109" s="153"/>
      <c r="K109" s="29">
        <f>K11+K19+K25+K35+K42+K52+K69+K77+K86+K93+K106</f>
        <v>18700</v>
      </c>
    </row>
    <row r="110" spans="1:14" ht="15" thickBot="1" x14ac:dyDescent="0.35"/>
    <row r="111" spans="1:14" ht="15" thickBot="1" x14ac:dyDescent="0.35">
      <c r="A111" s="26" t="s">
        <v>155</v>
      </c>
      <c r="B111" s="154" t="s">
        <v>165</v>
      </c>
      <c r="C111" s="155"/>
      <c r="D111" s="155"/>
      <c r="E111" s="155"/>
      <c r="F111" s="155"/>
      <c r="G111" s="155"/>
      <c r="H111" s="156">
        <f>H108+H109</f>
        <v>18700</v>
      </c>
      <c r="I111" s="157"/>
    </row>
  </sheetData>
  <mergeCells count="215">
    <mergeCell ref="B108:G108"/>
    <mergeCell ref="B109:G109"/>
    <mergeCell ref="H108:I108"/>
    <mergeCell ref="H109:I109"/>
    <mergeCell ref="B111:G111"/>
    <mergeCell ref="H111:I111"/>
    <mergeCell ref="H92:I92"/>
    <mergeCell ref="H93:I93"/>
    <mergeCell ref="H94:I94"/>
    <mergeCell ref="H95:I95"/>
    <mergeCell ref="B104:G104"/>
    <mergeCell ref="B105:G105"/>
    <mergeCell ref="B106:G106"/>
    <mergeCell ref="H106:I106"/>
    <mergeCell ref="H105:I105"/>
    <mergeCell ref="H104:I104"/>
    <mergeCell ref="H103:I103"/>
    <mergeCell ref="B103:G103"/>
    <mergeCell ref="B93:G93"/>
    <mergeCell ref="B94:G94"/>
    <mergeCell ref="B95:G95"/>
    <mergeCell ref="B96:G96"/>
    <mergeCell ref="B97:G97"/>
    <mergeCell ref="B98:G98"/>
    <mergeCell ref="B76:G76"/>
    <mergeCell ref="B77:G77"/>
    <mergeCell ref="B78:G78"/>
    <mergeCell ref="B79:G79"/>
    <mergeCell ref="B80:G80"/>
    <mergeCell ref="B81:G81"/>
    <mergeCell ref="B82:G82"/>
    <mergeCell ref="H76:I76"/>
    <mergeCell ref="H77:I77"/>
    <mergeCell ref="H78:I78"/>
    <mergeCell ref="H79:I79"/>
    <mergeCell ref="H80:I80"/>
    <mergeCell ref="H81:I81"/>
    <mergeCell ref="H82:I82"/>
    <mergeCell ref="B74:G74"/>
    <mergeCell ref="B58:G58"/>
    <mergeCell ref="B59:G59"/>
    <mergeCell ref="B60:G60"/>
    <mergeCell ref="B61:G61"/>
    <mergeCell ref="B62:G62"/>
    <mergeCell ref="B63:G63"/>
    <mergeCell ref="B64:G64"/>
    <mergeCell ref="B65:G65"/>
    <mergeCell ref="B66:G66"/>
    <mergeCell ref="B6:G6"/>
    <mergeCell ref="H5:I5"/>
    <mergeCell ref="H6:I6"/>
    <mergeCell ref="H7:I7"/>
    <mergeCell ref="H8:I8"/>
    <mergeCell ref="H9:I9"/>
    <mergeCell ref="A1:I2"/>
    <mergeCell ref="B3:G3"/>
    <mergeCell ref="H3:I3"/>
    <mergeCell ref="B4:G4"/>
    <mergeCell ref="H4:I4"/>
    <mergeCell ref="B5:G5"/>
    <mergeCell ref="H10:I10"/>
    <mergeCell ref="H11:I11"/>
    <mergeCell ref="H12:I12"/>
    <mergeCell ref="B7:G7"/>
    <mergeCell ref="B8:G8"/>
    <mergeCell ref="B9:G9"/>
    <mergeCell ref="B10:G10"/>
    <mergeCell ref="B11:G11"/>
    <mergeCell ref="B12:G12"/>
    <mergeCell ref="B16:G16"/>
    <mergeCell ref="H16:I16"/>
    <mergeCell ref="B17:G17"/>
    <mergeCell ref="H17:I17"/>
    <mergeCell ref="B18:G18"/>
    <mergeCell ref="H18:I18"/>
    <mergeCell ref="B13:G13"/>
    <mergeCell ref="H13:I13"/>
    <mergeCell ref="H14:I14"/>
    <mergeCell ref="B14:G14"/>
    <mergeCell ref="B15:G15"/>
    <mergeCell ref="H15:I15"/>
    <mergeCell ref="H21:I21"/>
    <mergeCell ref="H22:I22"/>
    <mergeCell ref="H23:I23"/>
    <mergeCell ref="H24:I24"/>
    <mergeCell ref="H25:I25"/>
    <mergeCell ref="B19:G19"/>
    <mergeCell ref="H19:I19"/>
    <mergeCell ref="B20:G20"/>
    <mergeCell ref="H20:I20"/>
    <mergeCell ref="B21:G21"/>
    <mergeCell ref="B22:G22"/>
    <mergeCell ref="H26:I26"/>
    <mergeCell ref="H27:I27"/>
    <mergeCell ref="B26:G26"/>
    <mergeCell ref="B27:G27"/>
    <mergeCell ref="B28:G28"/>
    <mergeCell ref="H28:I28"/>
    <mergeCell ref="B23:G23"/>
    <mergeCell ref="B24:G24"/>
    <mergeCell ref="B25:G25"/>
    <mergeCell ref="H32:I32"/>
    <mergeCell ref="B32:G32"/>
    <mergeCell ref="H33:I33"/>
    <mergeCell ref="B33:G33"/>
    <mergeCell ref="B34:G34"/>
    <mergeCell ref="H34:I34"/>
    <mergeCell ref="B29:G29"/>
    <mergeCell ref="H29:I29"/>
    <mergeCell ref="B30:G30"/>
    <mergeCell ref="H30:I30"/>
    <mergeCell ref="H31:I31"/>
    <mergeCell ref="B31:G31"/>
    <mergeCell ref="H38:I38"/>
    <mergeCell ref="B38:G38"/>
    <mergeCell ref="H39:I39"/>
    <mergeCell ref="B39:G39"/>
    <mergeCell ref="H40:I40"/>
    <mergeCell ref="B40:G40"/>
    <mergeCell ref="H35:I35"/>
    <mergeCell ref="B35:G35"/>
    <mergeCell ref="H36:I36"/>
    <mergeCell ref="B36:G36"/>
    <mergeCell ref="H37:I37"/>
    <mergeCell ref="B37:G37"/>
    <mergeCell ref="B44:G44"/>
    <mergeCell ref="H44:I44"/>
    <mergeCell ref="H45:I45"/>
    <mergeCell ref="B45:G45"/>
    <mergeCell ref="B46:G46"/>
    <mergeCell ref="H46:I46"/>
    <mergeCell ref="H41:I41"/>
    <mergeCell ref="B41:G41"/>
    <mergeCell ref="H42:I42"/>
    <mergeCell ref="B42:G42"/>
    <mergeCell ref="H43:I43"/>
    <mergeCell ref="B43:G43"/>
    <mergeCell ref="H50:I50"/>
    <mergeCell ref="B50:G50"/>
    <mergeCell ref="H51:I51"/>
    <mergeCell ref="H52:I52"/>
    <mergeCell ref="B51:G51"/>
    <mergeCell ref="B52:G52"/>
    <mergeCell ref="H47:I47"/>
    <mergeCell ref="B47:G47"/>
    <mergeCell ref="H48:I48"/>
    <mergeCell ref="B48:G48"/>
    <mergeCell ref="H49:I49"/>
    <mergeCell ref="B49:G49"/>
    <mergeCell ref="H91:I91"/>
    <mergeCell ref="B56:G56"/>
    <mergeCell ref="B57:G57"/>
    <mergeCell ref="H57:I57"/>
    <mergeCell ref="H53:I53"/>
    <mergeCell ref="B53:G53"/>
    <mergeCell ref="H54:I54"/>
    <mergeCell ref="B54:G54"/>
    <mergeCell ref="H55:I55"/>
    <mergeCell ref="B55:G55"/>
    <mergeCell ref="B67:G67"/>
    <mergeCell ref="B68:G68"/>
    <mergeCell ref="B69:G69"/>
    <mergeCell ref="B70:G70"/>
    <mergeCell ref="B71:G71"/>
    <mergeCell ref="B72:G72"/>
    <mergeCell ref="B73:G73"/>
    <mergeCell ref="B75:G75"/>
    <mergeCell ref="H67:I67"/>
    <mergeCell ref="H68:I68"/>
    <mergeCell ref="H69:I69"/>
    <mergeCell ref="H70:I70"/>
    <mergeCell ref="H71:I71"/>
    <mergeCell ref="H72:I72"/>
    <mergeCell ref="H66:I66"/>
    <mergeCell ref="H83:I83"/>
    <mergeCell ref="H84:I84"/>
    <mergeCell ref="H85:I85"/>
    <mergeCell ref="H86:I86"/>
    <mergeCell ref="H87:I87"/>
    <mergeCell ref="H88:I88"/>
    <mergeCell ref="H89:I89"/>
    <mergeCell ref="H90:I90"/>
    <mergeCell ref="H73:I73"/>
    <mergeCell ref="H74:I74"/>
    <mergeCell ref="H75:I75"/>
    <mergeCell ref="H56:I56"/>
    <mergeCell ref="H58:I58"/>
    <mergeCell ref="H59:I59"/>
    <mergeCell ref="H60:I60"/>
    <mergeCell ref="H61:I61"/>
    <mergeCell ref="H62:I62"/>
    <mergeCell ref="H63:I63"/>
    <mergeCell ref="H64:I64"/>
    <mergeCell ref="H65:I65"/>
    <mergeCell ref="B83:G83"/>
    <mergeCell ref="B84:G84"/>
    <mergeCell ref="B85:G85"/>
    <mergeCell ref="B86:G86"/>
    <mergeCell ref="B87:G87"/>
    <mergeCell ref="B88:G88"/>
    <mergeCell ref="B89:G89"/>
    <mergeCell ref="B90:G90"/>
    <mergeCell ref="B92:G92"/>
    <mergeCell ref="B91:G91"/>
    <mergeCell ref="B99:G99"/>
    <mergeCell ref="H96:I96"/>
    <mergeCell ref="H97:I97"/>
    <mergeCell ref="H98:I98"/>
    <mergeCell ref="H99:I99"/>
    <mergeCell ref="B100:G100"/>
    <mergeCell ref="H100:I100"/>
    <mergeCell ref="B101:G101"/>
    <mergeCell ref="B102:G102"/>
    <mergeCell ref="H102:I102"/>
    <mergeCell ref="H101:I101"/>
  </mergeCells>
  <conditionalFormatting sqref="H4:I10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1:K10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4:M10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{29335ABD-566B-4F94-BFAD-9C6974BAE552}</x14:id>
        </ext>
      </extLst>
    </cfRule>
  </conditionalFormatting>
  <conditionalFormatting sqref="M25">
    <cfRule type="cellIs" dxfId="2" priority="5" operator="greaterThan">
      <formula>"Rs. 2,600.00"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335ABD-566B-4F94-BFAD-9C6974BAE5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M24:M106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4A49-DAC5-4224-953F-F723AC65B30A}">
  <dimension ref="A1:U151"/>
  <sheetViews>
    <sheetView tabSelected="1" topLeftCell="A95" zoomScale="93" workbookViewId="0">
      <selection activeCell="A106" sqref="A106"/>
    </sheetView>
  </sheetViews>
  <sheetFormatPr defaultRowHeight="14.4" x14ac:dyDescent="0.3"/>
  <cols>
    <col min="12" max="12" width="16.21875" customWidth="1"/>
    <col min="13" max="13" width="9.44140625" customWidth="1"/>
    <col min="14" max="14" width="13.6640625" customWidth="1"/>
    <col min="15" max="15" width="9.44140625" bestFit="1" customWidth="1"/>
    <col min="16" max="16" width="15.88671875" customWidth="1"/>
    <col min="18" max="18" width="17.44140625" customWidth="1"/>
  </cols>
  <sheetData>
    <row r="1" spans="1:16" ht="16.2" customHeight="1" x14ac:dyDescent="0.3">
      <c r="A1" s="169" t="s">
        <v>166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</row>
    <row r="2" spans="1:16" ht="26.4" customHeight="1" x14ac:dyDescent="0.3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</row>
    <row r="3" spans="1:16" ht="23.4" customHeight="1" x14ac:dyDescent="0.3">
      <c r="A3" s="2" t="s">
        <v>0</v>
      </c>
      <c r="B3" s="170" t="s">
        <v>1</v>
      </c>
      <c r="C3" s="171"/>
      <c r="D3" s="171"/>
      <c r="E3" s="171"/>
      <c r="F3" s="171"/>
      <c r="G3" s="171"/>
      <c r="H3" s="170" t="s">
        <v>167</v>
      </c>
      <c r="I3" s="171"/>
      <c r="J3" s="170" t="s">
        <v>168</v>
      </c>
      <c r="K3" s="171"/>
    </row>
    <row r="4" spans="1:16" x14ac:dyDescent="0.3">
      <c r="A4" s="18" t="s">
        <v>169</v>
      </c>
      <c r="B4" s="92" t="s">
        <v>170</v>
      </c>
      <c r="C4" s="81"/>
      <c r="D4" s="81"/>
      <c r="E4" s="81"/>
      <c r="F4" s="81"/>
      <c r="G4" s="82"/>
      <c r="H4" s="106"/>
      <c r="I4" s="107"/>
      <c r="J4" s="106">
        <v>-2700</v>
      </c>
      <c r="K4" s="107"/>
    </row>
    <row r="5" spans="1:16" x14ac:dyDescent="0.3">
      <c r="A5" s="18" t="s">
        <v>171</v>
      </c>
      <c r="B5" s="92" t="s">
        <v>172</v>
      </c>
      <c r="C5" s="81"/>
      <c r="D5" s="81"/>
      <c r="E5" s="81"/>
      <c r="F5" s="81"/>
      <c r="G5" s="82"/>
      <c r="H5" s="106">
        <v>300</v>
      </c>
      <c r="I5" s="107"/>
      <c r="J5" s="106"/>
      <c r="K5" s="107"/>
    </row>
    <row r="6" spans="1:16" x14ac:dyDescent="0.3">
      <c r="A6" s="18" t="s">
        <v>173</v>
      </c>
      <c r="B6" s="92" t="s">
        <v>174</v>
      </c>
      <c r="C6" s="81"/>
      <c r="D6" s="81"/>
      <c r="E6" s="81"/>
      <c r="F6" s="81"/>
      <c r="G6" s="82"/>
      <c r="H6" s="106">
        <v>200</v>
      </c>
      <c r="I6" s="107"/>
      <c r="J6" s="106"/>
      <c r="K6" s="107"/>
    </row>
    <row r="7" spans="1:16" x14ac:dyDescent="0.3">
      <c r="A7" s="18" t="s">
        <v>175</v>
      </c>
      <c r="B7" s="92" t="s">
        <v>77</v>
      </c>
      <c r="C7" s="81"/>
      <c r="D7" s="81"/>
      <c r="E7" s="81"/>
      <c r="F7" s="81"/>
      <c r="G7" s="82"/>
      <c r="H7" s="106">
        <v>100</v>
      </c>
      <c r="I7" s="107"/>
      <c r="J7" s="106"/>
      <c r="K7" s="107"/>
    </row>
    <row r="8" spans="1:16" x14ac:dyDescent="0.3">
      <c r="A8" s="18" t="s">
        <v>176</v>
      </c>
      <c r="B8" s="92" t="s">
        <v>75</v>
      </c>
      <c r="C8" s="81"/>
      <c r="D8" s="81"/>
      <c r="E8" s="81"/>
      <c r="F8" s="81"/>
      <c r="G8" s="82"/>
      <c r="H8" s="106">
        <v>2000</v>
      </c>
      <c r="I8" s="107"/>
      <c r="J8" s="106"/>
      <c r="K8" s="107"/>
    </row>
    <row r="9" spans="1:16" x14ac:dyDescent="0.3">
      <c r="A9" s="18" t="s">
        <v>177</v>
      </c>
      <c r="B9" s="92" t="s">
        <v>109</v>
      </c>
      <c r="C9" s="81"/>
      <c r="D9" s="81"/>
      <c r="E9" s="81"/>
      <c r="F9" s="81"/>
      <c r="G9" s="82"/>
      <c r="H9" s="106"/>
      <c r="I9" s="107"/>
      <c r="J9" s="106">
        <v>-300</v>
      </c>
      <c r="K9" s="107"/>
      <c r="L9" s="28" t="s">
        <v>179</v>
      </c>
    </row>
    <row r="10" spans="1:16" x14ac:dyDescent="0.3">
      <c r="A10" s="18" t="s">
        <v>178</v>
      </c>
      <c r="B10" s="92" t="s">
        <v>122</v>
      </c>
      <c r="C10" s="81"/>
      <c r="D10" s="81"/>
      <c r="E10" s="81"/>
      <c r="F10" s="81"/>
      <c r="G10" s="82"/>
      <c r="H10" s="106">
        <v>1000</v>
      </c>
      <c r="I10" s="107"/>
      <c r="J10" s="106"/>
      <c r="K10" s="107"/>
      <c r="L10" s="27">
        <f>SUM(H10+J9)</f>
        <v>700</v>
      </c>
    </row>
    <row r="11" spans="1:16" x14ac:dyDescent="0.3">
      <c r="A11" s="18" t="s">
        <v>180</v>
      </c>
      <c r="B11" s="92" t="s">
        <v>109</v>
      </c>
      <c r="C11" s="81"/>
      <c r="D11" s="81"/>
      <c r="E11" s="81"/>
      <c r="F11" s="81"/>
      <c r="G11" s="82"/>
      <c r="H11" s="106"/>
      <c r="I11" s="107"/>
      <c r="J11" s="106">
        <v>-500</v>
      </c>
      <c r="K11" s="107"/>
    </row>
    <row r="12" spans="1:16" x14ac:dyDescent="0.3">
      <c r="A12" s="18" t="s">
        <v>181</v>
      </c>
      <c r="B12" s="92" t="s">
        <v>182</v>
      </c>
      <c r="C12" s="81"/>
      <c r="D12" s="81"/>
      <c r="E12" s="81"/>
      <c r="F12" s="81"/>
      <c r="G12" s="82"/>
      <c r="H12" s="106"/>
      <c r="I12" s="107"/>
      <c r="J12" s="106">
        <v>-200</v>
      </c>
      <c r="K12" s="107"/>
      <c r="L12" s="28" t="s">
        <v>179</v>
      </c>
    </row>
    <row r="13" spans="1:16" x14ac:dyDescent="0.3">
      <c r="A13" s="18" t="s">
        <v>183</v>
      </c>
      <c r="B13" s="92" t="s">
        <v>122</v>
      </c>
      <c r="C13" s="81"/>
      <c r="D13" s="81"/>
      <c r="E13" s="81"/>
      <c r="F13" s="81"/>
      <c r="G13" s="82"/>
      <c r="H13" s="106">
        <v>1700</v>
      </c>
      <c r="I13" s="107"/>
      <c r="J13" s="106"/>
      <c r="K13" s="107"/>
      <c r="L13" s="27">
        <f>SUM(H13+J11+J12)</f>
        <v>1000</v>
      </c>
      <c r="N13" s="1" t="s">
        <v>229</v>
      </c>
      <c r="P13" s="1" t="s">
        <v>230</v>
      </c>
    </row>
    <row r="14" spans="1:16" x14ac:dyDescent="0.3">
      <c r="A14" s="18" t="s">
        <v>184</v>
      </c>
      <c r="B14" s="92" t="s">
        <v>186</v>
      </c>
      <c r="C14" s="81"/>
      <c r="D14" s="81"/>
      <c r="E14" s="81"/>
      <c r="F14" s="81"/>
      <c r="G14" s="82"/>
      <c r="H14" s="106"/>
      <c r="I14" s="107"/>
      <c r="J14" s="106">
        <v>-700</v>
      </c>
      <c r="K14" s="107"/>
      <c r="N14" s="12">
        <f>SUM(H4:K14)</f>
        <v>900</v>
      </c>
      <c r="P14" s="12">
        <f>SUM(L10+L13)</f>
        <v>1700</v>
      </c>
    </row>
    <row r="15" spans="1:16" x14ac:dyDescent="0.3">
      <c r="A15" s="18" t="s">
        <v>185</v>
      </c>
      <c r="B15" s="92" t="s">
        <v>187</v>
      </c>
      <c r="C15" s="81"/>
      <c r="D15" s="81"/>
      <c r="E15" s="81"/>
      <c r="F15" s="81"/>
      <c r="G15" s="82"/>
      <c r="H15" s="106"/>
      <c r="I15" s="107"/>
      <c r="J15" s="106">
        <v>-700</v>
      </c>
      <c r="K15" s="107"/>
      <c r="L15" s="28" t="s">
        <v>179</v>
      </c>
    </row>
    <row r="16" spans="1:16" x14ac:dyDescent="0.3">
      <c r="A16" s="18" t="s">
        <v>188</v>
      </c>
      <c r="B16" s="92" t="s">
        <v>122</v>
      </c>
      <c r="C16" s="81"/>
      <c r="D16" s="81"/>
      <c r="E16" s="81"/>
      <c r="F16" s="81"/>
      <c r="G16" s="82"/>
      <c r="H16" s="106">
        <v>2100</v>
      </c>
      <c r="I16" s="107"/>
      <c r="J16" s="106"/>
      <c r="K16" s="107"/>
      <c r="L16" s="27">
        <f>SUM(H16+J14+J15)</f>
        <v>700</v>
      </c>
    </row>
    <row r="17" spans="1:16" x14ac:dyDescent="0.3">
      <c r="A17" s="18" t="s">
        <v>189</v>
      </c>
      <c r="B17" s="92" t="s">
        <v>109</v>
      </c>
      <c r="C17" s="81"/>
      <c r="D17" s="81"/>
      <c r="E17" s="81"/>
      <c r="F17" s="81"/>
      <c r="G17" s="82"/>
      <c r="H17" s="106"/>
      <c r="I17" s="107"/>
      <c r="J17" s="106">
        <v>-400</v>
      </c>
      <c r="K17" s="107"/>
    </row>
    <row r="18" spans="1:16" x14ac:dyDescent="0.3">
      <c r="A18" s="20" t="s">
        <v>190</v>
      </c>
      <c r="B18" s="77" t="s">
        <v>191</v>
      </c>
      <c r="C18" s="78"/>
      <c r="D18" s="78"/>
      <c r="E18" s="78"/>
      <c r="F18" s="78"/>
      <c r="G18" s="79"/>
      <c r="H18" s="108"/>
      <c r="I18" s="109"/>
      <c r="J18" s="108">
        <v>-500</v>
      </c>
      <c r="K18" s="109"/>
      <c r="L18" s="28" t="s">
        <v>179</v>
      </c>
    </row>
    <row r="19" spans="1:16" x14ac:dyDescent="0.3">
      <c r="A19" s="21"/>
      <c r="B19" s="95" t="s">
        <v>122</v>
      </c>
      <c r="C19" s="96"/>
      <c r="D19" s="96"/>
      <c r="E19" s="96"/>
      <c r="F19" s="96"/>
      <c r="G19" s="97"/>
      <c r="H19" s="110">
        <v>1100</v>
      </c>
      <c r="I19" s="111"/>
      <c r="J19" s="110"/>
      <c r="K19" s="111"/>
      <c r="L19" s="27">
        <f>SUM(H19+J17+J18)</f>
        <v>200</v>
      </c>
    </row>
    <row r="20" spans="1:16" x14ac:dyDescent="0.3">
      <c r="A20" s="18" t="s">
        <v>192</v>
      </c>
      <c r="B20" s="92" t="s">
        <v>109</v>
      </c>
      <c r="C20" s="81"/>
      <c r="D20" s="81"/>
      <c r="E20" s="81"/>
      <c r="F20" s="81"/>
      <c r="G20" s="82"/>
      <c r="H20" s="106"/>
      <c r="I20" s="107"/>
      <c r="J20" s="106">
        <v>-400</v>
      </c>
      <c r="K20" s="107"/>
    </row>
    <row r="21" spans="1:16" x14ac:dyDescent="0.3">
      <c r="A21" s="20" t="s">
        <v>193</v>
      </c>
      <c r="B21" s="77" t="s">
        <v>194</v>
      </c>
      <c r="C21" s="78"/>
      <c r="D21" s="78"/>
      <c r="E21" s="78"/>
      <c r="F21" s="78"/>
      <c r="G21" s="79"/>
      <c r="H21" s="108"/>
      <c r="I21" s="109"/>
      <c r="J21" s="108">
        <v>-700</v>
      </c>
      <c r="K21" s="109"/>
      <c r="L21" s="30" t="s">
        <v>195</v>
      </c>
    </row>
    <row r="22" spans="1:16" x14ac:dyDescent="0.3">
      <c r="A22" s="21"/>
      <c r="B22" s="95" t="s">
        <v>122</v>
      </c>
      <c r="C22" s="96"/>
      <c r="D22" s="96"/>
      <c r="E22" s="96"/>
      <c r="F22" s="96"/>
      <c r="G22" s="97"/>
      <c r="H22" s="110">
        <v>1000</v>
      </c>
      <c r="I22" s="111"/>
      <c r="J22" s="110"/>
      <c r="K22" s="111"/>
      <c r="L22" s="27">
        <f>SUM(J20+J21+H22)</f>
        <v>-100</v>
      </c>
    </row>
    <row r="23" spans="1:16" x14ac:dyDescent="0.3">
      <c r="A23" s="18" t="s">
        <v>196</v>
      </c>
      <c r="B23" s="92" t="s">
        <v>109</v>
      </c>
      <c r="C23" s="81"/>
      <c r="D23" s="81"/>
      <c r="E23" s="81"/>
      <c r="F23" s="81"/>
      <c r="G23" s="82"/>
      <c r="H23" s="106"/>
      <c r="I23" s="107"/>
      <c r="J23" s="106">
        <v>-600</v>
      </c>
      <c r="K23" s="107"/>
    </row>
    <row r="24" spans="1:16" x14ac:dyDescent="0.3">
      <c r="A24" s="18" t="s">
        <v>197</v>
      </c>
      <c r="B24" s="92" t="s">
        <v>198</v>
      </c>
      <c r="C24" s="81"/>
      <c r="D24" s="81"/>
      <c r="E24" s="81"/>
      <c r="F24" s="81"/>
      <c r="G24" s="82"/>
      <c r="H24" s="106"/>
      <c r="I24" s="107"/>
      <c r="J24" s="106">
        <v>-300</v>
      </c>
      <c r="K24" s="107"/>
      <c r="L24" s="31" t="s">
        <v>226</v>
      </c>
    </row>
    <row r="25" spans="1:16" x14ac:dyDescent="0.3">
      <c r="A25" s="18" t="s">
        <v>199</v>
      </c>
      <c r="B25" s="92" t="s">
        <v>122</v>
      </c>
      <c r="C25" s="81"/>
      <c r="D25" s="81"/>
      <c r="E25" s="81"/>
      <c r="F25" s="81"/>
      <c r="G25" s="82"/>
      <c r="H25" s="106">
        <v>900</v>
      </c>
      <c r="I25" s="107"/>
      <c r="J25" s="106"/>
      <c r="K25" s="107"/>
      <c r="L25" s="27">
        <f>SUM(J23+J24+H25)</f>
        <v>0</v>
      </c>
    </row>
    <row r="26" spans="1:16" x14ac:dyDescent="0.3">
      <c r="A26" s="18" t="s">
        <v>200</v>
      </c>
      <c r="B26" s="92" t="s">
        <v>201</v>
      </c>
      <c r="C26" s="81"/>
      <c r="D26" s="81"/>
      <c r="E26" s="81"/>
      <c r="F26" s="81"/>
      <c r="G26" s="82"/>
      <c r="H26" s="106"/>
      <c r="I26" s="107"/>
      <c r="J26" s="172">
        <v>-100</v>
      </c>
      <c r="K26" s="107"/>
      <c r="N26" s="1" t="s">
        <v>228</v>
      </c>
      <c r="P26" s="1" t="s">
        <v>227</v>
      </c>
    </row>
    <row r="27" spans="1:16" x14ac:dyDescent="0.3">
      <c r="A27" s="18" t="s">
        <v>202</v>
      </c>
      <c r="B27" s="92" t="s">
        <v>109</v>
      </c>
      <c r="C27" s="81"/>
      <c r="D27" s="81"/>
      <c r="E27" s="81"/>
      <c r="F27" s="81"/>
      <c r="G27" s="82"/>
      <c r="H27" s="106"/>
      <c r="I27" s="107"/>
      <c r="J27" s="172">
        <v>-400</v>
      </c>
      <c r="K27" s="107"/>
      <c r="N27" s="12">
        <f>SUM(H15:K27)</f>
        <v>1000</v>
      </c>
      <c r="O27" s="5"/>
      <c r="P27" s="12">
        <f>SUM(L16+L19+L22+L25)</f>
        <v>800</v>
      </c>
    </row>
    <row r="28" spans="1:16" x14ac:dyDescent="0.3">
      <c r="A28" s="18" t="s">
        <v>203</v>
      </c>
      <c r="B28" s="92" t="s">
        <v>204</v>
      </c>
      <c r="C28" s="81"/>
      <c r="D28" s="81"/>
      <c r="E28" s="81"/>
      <c r="F28" s="81"/>
      <c r="G28" s="82"/>
      <c r="H28" s="106"/>
      <c r="I28" s="107"/>
      <c r="J28" s="172">
        <v>-9300</v>
      </c>
      <c r="K28" s="107"/>
      <c r="L28" s="30" t="s">
        <v>195</v>
      </c>
    </row>
    <row r="29" spans="1:16" x14ac:dyDescent="0.3">
      <c r="A29" s="18" t="s">
        <v>205</v>
      </c>
      <c r="B29" s="92" t="s">
        <v>122</v>
      </c>
      <c r="C29" s="81"/>
      <c r="D29" s="81"/>
      <c r="E29" s="81"/>
      <c r="F29" s="81"/>
      <c r="G29" s="82"/>
      <c r="H29" s="106">
        <v>8800</v>
      </c>
      <c r="I29" s="107"/>
      <c r="J29" s="172"/>
      <c r="K29" s="107"/>
      <c r="L29" s="27">
        <f>SUM(J27+J28+H29)</f>
        <v>-900</v>
      </c>
    </row>
    <row r="30" spans="1:16" x14ac:dyDescent="0.3">
      <c r="A30" s="18" t="s">
        <v>206</v>
      </c>
      <c r="B30" s="92" t="s">
        <v>109</v>
      </c>
      <c r="C30" s="81"/>
      <c r="D30" s="81"/>
      <c r="E30" s="81"/>
      <c r="F30" s="81"/>
      <c r="G30" s="82"/>
      <c r="H30" s="106"/>
      <c r="I30" s="107"/>
      <c r="J30" s="172">
        <v>-600</v>
      </c>
      <c r="K30" s="107"/>
    </row>
    <row r="31" spans="1:16" x14ac:dyDescent="0.3">
      <c r="A31" s="20" t="s">
        <v>207</v>
      </c>
      <c r="B31" s="77" t="s">
        <v>208</v>
      </c>
      <c r="C31" s="78"/>
      <c r="D31" s="78"/>
      <c r="E31" s="78"/>
      <c r="F31" s="78"/>
      <c r="G31" s="79"/>
      <c r="H31" s="108">
        <v>1000</v>
      </c>
      <c r="I31" s="109"/>
      <c r="J31" s="112"/>
      <c r="K31" s="109"/>
    </row>
    <row r="32" spans="1:16" x14ac:dyDescent="0.3">
      <c r="A32" s="21"/>
      <c r="B32" s="95" t="s">
        <v>209</v>
      </c>
      <c r="C32" s="96"/>
      <c r="D32" s="96"/>
      <c r="E32" s="96"/>
      <c r="F32" s="96"/>
      <c r="G32" s="97"/>
      <c r="H32" s="110">
        <v>1000</v>
      </c>
      <c r="I32" s="111"/>
      <c r="J32" s="158"/>
      <c r="K32" s="111"/>
      <c r="L32" s="28" t="s">
        <v>211</v>
      </c>
    </row>
    <row r="33" spans="1:18" x14ac:dyDescent="0.3">
      <c r="A33" s="18" t="s">
        <v>210</v>
      </c>
      <c r="B33" s="92" t="s">
        <v>122</v>
      </c>
      <c r="C33" s="81"/>
      <c r="D33" s="81"/>
      <c r="E33" s="81"/>
      <c r="F33" s="81"/>
      <c r="G33" s="82"/>
      <c r="H33" s="106">
        <v>1500</v>
      </c>
      <c r="I33" s="107"/>
      <c r="J33" s="172"/>
      <c r="K33" s="107"/>
      <c r="L33" s="27">
        <f>SUM(J30+H31+H32+H33)</f>
        <v>2900</v>
      </c>
    </row>
    <row r="34" spans="1:18" x14ac:dyDescent="0.3">
      <c r="A34" s="18" t="s">
        <v>212</v>
      </c>
      <c r="B34" s="92" t="s">
        <v>213</v>
      </c>
      <c r="C34" s="81"/>
      <c r="D34" s="81"/>
      <c r="E34" s="81"/>
      <c r="F34" s="81"/>
      <c r="G34" s="82"/>
      <c r="H34" s="106"/>
      <c r="I34" s="107"/>
      <c r="J34" s="172">
        <v>-200</v>
      </c>
      <c r="K34" s="107"/>
    </row>
    <row r="35" spans="1:18" x14ac:dyDescent="0.3">
      <c r="A35" s="18" t="s">
        <v>214</v>
      </c>
      <c r="B35" s="92" t="s">
        <v>109</v>
      </c>
      <c r="C35" s="81"/>
      <c r="D35" s="81"/>
      <c r="E35" s="81"/>
      <c r="F35" s="81"/>
      <c r="G35" s="82"/>
      <c r="H35" s="106"/>
      <c r="I35" s="107"/>
      <c r="J35" s="172">
        <v>-500</v>
      </c>
      <c r="K35" s="107"/>
    </row>
    <row r="36" spans="1:18" x14ac:dyDescent="0.3">
      <c r="A36" s="18" t="s">
        <v>215</v>
      </c>
      <c r="B36" s="92" t="s">
        <v>198</v>
      </c>
      <c r="C36" s="81"/>
      <c r="D36" s="81"/>
      <c r="E36" s="81"/>
      <c r="F36" s="81"/>
      <c r="G36" s="82"/>
      <c r="H36" s="106"/>
      <c r="I36" s="107"/>
      <c r="J36" s="172">
        <v>-500</v>
      </c>
      <c r="K36" s="107"/>
      <c r="L36" s="28" t="s">
        <v>179</v>
      </c>
    </row>
    <row r="37" spans="1:18" x14ac:dyDescent="0.3">
      <c r="A37" s="18" t="s">
        <v>216</v>
      </c>
      <c r="B37" s="92" t="s">
        <v>122</v>
      </c>
      <c r="C37" s="81"/>
      <c r="D37" s="81"/>
      <c r="E37" s="81"/>
      <c r="F37" s="81"/>
      <c r="G37" s="82"/>
      <c r="H37" s="106">
        <v>1300</v>
      </c>
      <c r="I37" s="107"/>
      <c r="J37" s="172"/>
      <c r="K37" s="107"/>
      <c r="L37" s="27">
        <f>SUM(J34+J35+J36+H37)</f>
        <v>100</v>
      </c>
    </row>
    <row r="38" spans="1:18" x14ac:dyDescent="0.3">
      <c r="A38" s="18" t="s">
        <v>217</v>
      </c>
      <c r="B38" s="92" t="s">
        <v>109</v>
      </c>
      <c r="C38" s="81"/>
      <c r="D38" s="81"/>
      <c r="E38" s="81"/>
      <c r="F38" s="81"/>
      <c r="G38" s="82"/>
      <c r="H38" s="106"/>
      <c r="I38" s="107"/>
      <c r="J38" s="172">
        <v>-500</v>
      </c>
      <c r="K38" s="107"/>
    </row>
    <row r="39" spans="1:18" x14ac:dyDescent="0.3">
      <c r="A39" s="18" t="s">
        <v>218</v>
      </c>
      <c r="B39" s="92" t="s">
        <v>219</v>
      </c>
      <c r="C39" s="81"/>
      <c r="D39" s="81"/>
      <c r="E39" s="81"/>
      <c r="F39" s="81"/>
      <c r="G39" s="82"/>
      <c r="H39" s="106"/>
      <c r="I39" s="107"/>
      <c r="J39" s="172">
        <v>-1500</v>
      </c>
      <c r="K39" s="107"/>
      <c r="L39" s="30" t="s">
        <v>222</v>
      </c>
    </row>
    <row r="40" spans="1:18" x14ac:dyDescent="0.3">
      <c r="A40" s="18" t="s">
        <v>220</v>
      </c>
      <c r="B40" s="92" t="s">
        <v>221</v>
      </c>
      <c r="C40" s="81"/>
      <c r="D40" s="81"/>
      <c r="E40" s="81"/>
      <c r="F40" s="81"/>
      <c r="G40" s="82"/>
      <c r="H40" s="106">
        <v>200</v>
      </c>
      <c r="I40" s="107"/>
      <c r="J40" s="172"/>
      <c r="K40" s="107"/>
      <c r="L40" s="27">
        <f>SUM(J38+J39+H40)</f>
        <v>-1800</v>
      </c>
    </row>
    <row r="41" spans="1:18" x14ac:dyDescent="0.3">
      <c r="A41" s="18" t="s">
        <v>223</v>
      </c>
      <c r="B41" s="92" t="s">
        <v>109</v>
      </c>
      <c r="C41" s="81"/>
      <c r="D41" s="81"/>
      <c r="E41" s="81"/>
      <c r="F41" s="81"/>
      <c r="G41" s="82"/>
      <c r="H41" s="106"/>
      <c r="I41" s="107"/>
      <c r="J41" s="172">
        <v>-1500</v>
      </c>
      <c r="K41" s="107"/>
    </row>
    <row r="42" spans="1:18" x14ac:dyDescent="0.3">
      <c r="A42" s="18" t="s">
        <v>224</v>
      </c>
      <c r="B42" s="92" t="s">
        <v>109</v>
      </c>
      <c r="C42" s="81"/>
      <c r="D42" s="81"/>
      <c r="E42" s="81"/>
      <c r="F42" s="81"/>
      <c r="G42" s="82"/>
      <c r="H42" s="106"/>
      <c r="I42" s="107"/>
      <c r="J42" s="172">
        <v>-800</v>
      </c>
      <c r="K42" s="107"/>
      <c r="L42" s="30" t="s">
        <v>195</v>
      </c>
      <c r="N42" s="1" t="s">
        <v>231</v>
      </c>
      <c r="P42" s="1" t="s">
        <v>232</v>
      </c>
      <c r="R42" s="8" t="s">
        <v>240</v>
      </c>
    </row>
    <row r="43" spans="1:18" ht="15" thickBot="1" x14ac:dyDescent="0.35">
      <c r="A43" s="32" t="s">
        <v>225</v>
      </c>
      <c r="B43" s="130" t="s">
        <v>122</v>
      </c>
      <c r="C43" s="131"/>
      <c r="D43" s="131"/>
      <c r="E43" s="131"/>
      <c r="F43" s="131"/>
      <c r="G43" s="132"/>
      <c r="H43" s="128">
        <v>1700</v>
      </c>
      <c r="I43" s="129"/>
      <c r="J43" s="173"/>
      <c r="K43" s="129"/>
      <c r="L43" s="27">
        <f>SUM(J41+J42+H43)</f>
        <v>-600</v>
      </c>
      <c r="N43" s="12">
        <f>SUM(H28:K43)</f>
        <v>100</v>
      </c>
      <c r="P43" s="12">
        <f>SUM(L29+L33+L37+L40+L43)</f>
        <v>-300</v>
      </c>
      <c r="R43" s="9">
        <f>P14+P27+P43</f>
        <v>2200</v>
      </c>
    </row>
    <row r="44" spans="1:18" x14ac:dyDescent="0.3">
      <c r="A44" s="21" t="s">
        <v>233</v>
      </c>
      <c r="B44" s="95" t="s">
        <v>109</v>
      </c>
      <c r="C44" s="96"/>
      <c r="D44" s="96"/>
      <c r="E44" s="96"/>
      <c r="F44" s="96"/>
      <c r="G44" s="97"/>
      <c r="H44" s="110"/>
      <c r="I44" s="111"/>
      <c r="J44" s="158">
        <v>-400</v>
      </c>
      <c r="K44" s="111"/>
    </row>
    <row r="45" spans="1:18" x14ac:dyDescent="0.3">
      <c r="A45" s="18" t="s">
        <v>234</v>
      </c>
      <c r="B45" s="92" t="s">
        <v>109</v>
      </c>
      <c r="C45" s="81"/>
      <c r="D45" s="81"/>
      <c r="E45" s="81"/>
      <c r="F45" s="81"/>
      <c r="G45" s="82"/>
      <c r="H45" s="106"/>
      <c r="I45" s="107"/>
      <c r="J45" s="172">
        <v>-200</v>
      </c>
      <c r="K45" s="107"/>
    </row>
    <row r="46" spans="1:18" x14ac:dyDescent="0.3">
      <c r="A46" s="20" t="s">
        <v>235</v>
      </c>
      <c r="B46" s="77" t="s">
        <v>236</v>
      </c>
      <c r="C46" s="78"/>
      <c r="D46" s="78"/>
      <c r="E46" s="78"/>
      <c r="F46" s="78"/>
      <c r="G46" s="79"/>
      <c r="H46" s="108"/>
      <c r="I46" s="109"/>
      <c r="J46" s="112">
        <v>-2500</v>
      </c>
      <c r="K46" s="109"/>
      <c r="L46" s="30" t="s">
        <v>222</v>
      </c>
    </row>
    <row r="47" spans="1:18" x14ac:dyDescent="0.3">
      <c r="A47" s="21"/>
      <c r="B47" s="95" t="s">
        <v>122</v>
      </c>
      <c r="C47" s="96"/>
      <c r="D47" s="96"/>
      <c r="E47" s="96"/>
      <c r="F47" s="96"/>
      <c r="G47" s="97"/>
      <c r="H47" s="110">
        <v>1400</v>
      </c>
      <c r="I47" s="111"/>
      <c r="J47" s="158"/>
      <c r="K47" s="111"/>
      <c r="L47" s="27">
        <f>SUM(J44+J45+J46+H47)</f>
        <v>-1700</v>
      </c>
    </row>
    <row r="48" spans="1:18" x14ac:dyDescent="0.3">
      <c r="A48" s="18" t="s">
        <v>237</v>
      </c>
      <c r="B48" s="92" t="s">
        <v>238</v>
      </c>
      <c r="C48" s="81"/>
      <c r="D48" s="81"/>
      <c r="E48" s="81"/>
      <c r="F48" s="81"/>
      <c r="G48" s="82"/>
      <c r="H48" s="106"/>
      <c r="I48" s="107"/>
      <c r="J48" s="172">
        <v>-100</v>
      </c>
      <c r="K48" s="107"/>
    </row>
    <row r="49" spans="1:16" x14ac:dyDescent="0.3">
      <c r="A49" s="20" t="s">
        <v>239</v>
      </c>
      <c r="B49" s="78" t="s">
        <v>75</v>
      </c>
      <c r="C49" s="78"/>
      <c r="D49" s="78"/>
      <c r="E49" s="78"/>
      <c r="F49" s="78"/>
      <c r="G49" s="79"/>
      <c r="H49" s="112">
        <v>1000</v>
      </c>
      <c r="I49" s="109"/>
      <c r="J49" s="112"/>
      <c r="K49" s="109"/>
      <c r="L49" s="28" t="s">
        <v>241</v>
      </c>
    </row>
    <row r="50" spans="1:16" x14ac:dyDescent="0.3">
      <c r="A50" s="21"/>
      <c r="B50" s="95" t="s">
        <v>43</v>
      </c>
      <c r="C50" s="96"/>
      <c r="D50" s="96"/>
      <c r="E50" s="96"/>
      <c r="F50" s="96"/>
      <c r="G50" s="97"/>
      <c r="H50" s="110">
        <v>1000</v>
      </c>
      <c r="I50" s="111"/>
      <c r="J50" s="158"/>
      <c r="K50" s="111"/>
      <c r="L50" s="27">
        <f>SUM(J48+H49+H50)</f>
        <v>1900</v>
      </c>
    </row>
    <row r="51" spans="1:16" x14ac:dyDescent="0.3">
      <c r="A51" s="3" t="s">
        <v>242</v>
      </c>
      <c r="B51" s="125" t="s">
        <v>243</v>
      </c>
      <c r="C51" s="126"/>
      <c r="D51" s="126"/>
      <c r="E51" s="126"/>
      <c r="F51" s="126"/>
      <c r="G51" s="127"/>
      <c r="H51" s="117">
        <v>1000</v>
      </c>
      <c r="I51" s="118"/>
      <c r="J51" s="117"/>
      <c r="K51" s="118"/>
    </row>
    <row r="52" spans="1:16" x14ac:dyDescent="0.3">
      <c r="A52" s="4"/>
      <c r="B52" s="77" t="s">
        <v>244</v>
      </c>
      <c r="C52" s="78"/>
      <c r="D52" s="78"/>
      <c r="E52" s="78"/>
      <c r="F52" s="78"/>
      <c r="G52" s="79"/>
      <c r="H52" s="108"/>
      <c r="I52" s="109"/>
      <c r="J52" s="108">
        <v>-300</v>
      </c>
      <c r="K52" s="109"/>
    </row>
    <row r="53" spans="1:16" x14ac:dyDescent="0.3">
      <c r="A53" s="6"/>
      <c r="B53" s="95" t="s">
        <v>69</v>
      </c>
      <c r="C53" s="96"/>
      <c r="D53" s="96"/>
      <c r="E53" s="96"/>
      <c r="F53" s="96"/>
      <c r="G53" s="97"/>
      <c r="H53" s="110">
        <f>SUM(H51+J52)</f>
        <v>700</v>
      </c>
      <c r="I53" s="111"/>
      <c r="J53" s="110"/>
      <c r="K53" s="111"/>
    </row>
    <row r="54" spans="1:16" x14ac:dyDescent="0.3">
      <c r="A54" s="7" t="s">
        <v>245</v>
      </c>
      <c r="B54" s="92" t="s">
        <v>246</v>
      </c>
      <c r="C54" s="81"/>
      <c r="D54" s="81"/>
      <c r="E54" s="81"/>
      <c r="F54" s="81"/>
      <c r="G54" s="82"/>
      <c r="H54" s="106"/>
      <c r="I54" s="107"/>
      <c r="J54" s="106">
        <v>-4200</v>
      </c>
      <c r="K54" s="107"/>
      <c r="L54" s="30" t="s">
        <v>248</v>
      </c>
      <c r="N54" s="1" t="s">
        <v>249</v>
      </c>
      <c r="P54" s="1" t="s">
        <v>250</v>
      </c>
    </row>
    <row r="55" spans="1:16" x14ac:dyDescent="0.3">
      <c r="A55" s="7" t="s">
        <v>247</v>
      </c>
      <c r="B55" s="92" t="s">
        <v>69</v>
      </c>
      <c r="C55" s="81"/>
      <c r="D55" s="81"/>
      <c r="E55" s="81"/>
      <c r="F55" s="81"/>
      <c r="G55" s="82"/>
      <c r="H55" s="106">
        <v>1100</v>
      </c>
      <c r="I55" s="107"/>
      <c r="J55" s="106"/>
      <c r="K55" s="107"/>
      <c r="L55" s="27">
        <f>SUM(H51+J52+J54+H53+H55)</f>
        <v>-1700</v>
      </c>
      <c r="N55" s="12">
        <f>SUM(H44:K55)</f>
        <v>-1500</v>
      </c>
      <c r="P55" s="12">
        <f>SUM(L47+L50+L55)</f>
        <v>-1500</v>
      </c>
    </row>
    <row r="56" spans="1:16" x14ac:dyDescent="0.3">
      <c r="A56" s="7" t="s">
        <v>251</v>
      </c>
      <c r="B56" s="92" t="s">
        <v>75</v>
      </c>
      <c r="C56" s="81"/>
      <c r="D56" s="81"/>
      <c r="E56" s="81"/>
      <c r="F56" s="81"/>
      <c r="G56" s="82"/>
      <c r="H56" s="106">
        <v>500</v>
      </c>
      <c r="I56" s="107"/>
      <c r="J56" s="106"/>
      <c r="K56" s="107"/>
      <c r="L56" s="28" t="s">
        <v>241</v>
      </c>
    </row>
    <row r="57" spans="1:16" x14ac:dyDescent="0.3">
      <c r="A57" s="7" t="s">
        <v>252</v>
      </c>
      <c r="B57" s="92" t="s">
        <v>243</v>
      </c>
      <c r="C57" s="81"/>
      <c r="D57" s="81"/>
      <c r="E57" s="81"/>
      <c r="F57" s="81"/>
      <c r="G57" s="82"/>
      <c r="H57" s="106">
        <v>1000</v>
      </c>
      <c r="I57" s="107"/>
      <c r="J57" s="106"/>
      <c r="K57" s="107"/>
      <c r="L57" s="27">
        <f>SUM(H56+H57)</f>
        <v>1500</v>
      </c>
    </row>
    <row r="58" spans="1:16" x14ac:dyDescent="0.3">
      <c r="A58" s="7" t="s">
        <v>255</v>
      </c>
      <c r="B58" s="92" t="s">
        <v>256</v>
      </c>
      <c r="C58" s="81"/>
      <c r="D58" s="81"/>
      <c r="E58" s="81"/>
      <c r="F58" s="81"/>
      <c r="G58" s="82"/>
      <c r="H58" s="106"/>
      <c r="I58" s="107"/>
      <c r="J58" s="106">
        <v>-300</v>
      </c>
      <c r="K58" s="107"/>
      <c r="L58" s="28" t="s">
        <v>179</v>
      </c>
    </row>
    <row r="59" spans="1:16" x14ac:dyDescent="0.3">
      <c r="A59" s="7" t="s">
        <v>253</v>
      </c>
      <c r="B59" s="92" t="s">
        <v>254</v>
      </c>
      <c r="C59" s="81"/>
      <c r="D59" s="81"/>
      <c r="E59" s="81"/>
      <c r="F59" s="81"/>
      <c r="G59" s="82"/>
      <c r="H59" s="106">
        <v>500</v>
      </c>
      <c r="I59" s="107"/>
      <c r="J59" s="106"/>
      <c r="K59" s="107"/>
      <c r="L59" s="27">
        <f>SUM(J58+H59)</f>
        <v>200</v>
      </c>
    </row>
    <row r="60" spans="1:16" x14ac:dyDescent="0.3">
      <c r="A60" s="7" t="s">
        <v>257</v>
      </c>
      <c r="B60" s="92" t="s">
        <v>258</v>
      </c>
      <c r="C60" s="81"/>
      <c r="D60" s="81"/>
      <c r="E60" s="81"/>
      <c r="F60" s="81"/>
      <c r="G60" s="82"/>
      <c r="H60" s="106"/>
      <c r="I60" s="107"/>
      <c r="J60" s="106">
        <v>-600</v>
      </c>
      <c r="K60" s="107"/>
    </row>
    <row r="61" spans="1:16" x14ac:dyDescent="0.3">
      <c r="A61" s="7" t="s">
        <v>259</v>
      </c>
      <c r="B61" s="92" t="s">
        <v>260</v>
      </c>
      <c r="C61" s="81"/>
      <c r="D61" s="81"/>
      <c r="E61" s="81"/>
      <c r="F61" s="81"/>
      <c r="G61" s="82"/>
      <c r="H61" s="106"/>
      <c r="I61" s="107"/>
      <c r="J61" s="106">
        <v>-500</v>
      </c>
      <c r="K61" s="107"/>
      <c r="L61" s="30" t="s">
        <v>195</v>
      </c>
    </row>
    <row r="62" spans="1:16" x14ac:dyDescent="0.3">
      <c r="A62" s="7" t="s">
        <v>261</v>
      </c>
      <c r="B62" s="92" t="s">
        <v>75</v>
      </c>
      <c r="C62" s="81"/>
      <c r="D62" s="81"/>
      <c r="E62" s="81"/>
      <c r="F62" s="81"/>
      <c r="G62" s="82"/>
      <c r="H62" s="106">
        <v>500</v>
      </c>
      <c r="I62" s="107"/>
      <c r="J62" s="106"/>
      <c r="K62" s="107"/>
      <c r="L62" s="27">
        <f>SUM(J60+J61+H62)</f>
        <v>-600</v>
      </c>
      <c r="N62" s="1" t="s">
        <v>267</v>
      </c>
      <c r="P62" s="1" t="s">
        <v>268</v>
      </c>
    </row>
    <row r="63" spans="1:16" x14ac:dyDescent="0.3">
      <c r="A63" s="7" t="s">
        <v>262</v>
      </c>
      <c r="B63" s="92" t="s">
        <v>263</v>
      </c>
      <c r="C63" s="81"/>
      <c r="D63" s="81"/>
      <c r="E63" s="81"/>
      <c r="F63" s="81"/>
      <c r="G63" s="82"/>
      <c r="H63" s="106"/>
      <c r="I63" s="107"/>
      <c r="J63" s="106">
        <v>-500</v>
      </c>
      <c r="K63" s="107"/>
      <c r="N63" s="12">
        <f>SUM(H56:K63)</f>
        <v>600</v>
      </c>
      <c r="P63" s="12">
        <f>SUM(L57+L59+L62)</f>
        <v>1100</v>
      </c>
    </row>
    <row r="64" spans="1:16" x14ac:dyDescent="0.3">
      <c r="A64" s="7" t="s">
        <v>264</v>
      </c>
      <c r="B64" s="92" t="s">
        <v>265</v>
      </c>
      <c r="C64" s="81"/>
      <c r="D64" s="81"/>
      <c r="E64" s="81"/>
      <c r="F64" s="81"/>
      <c r="G64" s="82"/>
      <c r="H64" s="106"/>
      <c r="I64" s="107"/>
      <c r="J64" s="106">
        <v>-300</v>
      </c>
      <c r="K64" s="107"/>
      <c r="L64" s="28" t="s">
        <v>179</v>
      </c>
    </row>
    <row r="65" spans="1:18" x14ac:dyDescent="0.3">
      <c r="A65" s="7" t="s">
        <v>266</v>
      </c>
      <c r="B65" s="92" t="s">
        <v>69</v>
      </c>
      <c r="C65" s="81"/>
      <c r="D65" s="81"/>
      <c r="E65" s="81"/>
      <c r="F65" s="81"/>
      <c r="G65" s="82"/>
      <c r="H65" s="106">
        <v>700</v>
      </c>
      <c r="I65" s="107"/>
      <c r="J65" s="106"/>
      <c r="K65" s="107"/>
      <c r="L65" s="27">
        <f>SUM(J64+H65)</f>
        <v>400</v>
      </c>
    </row>
    <row r="66" spans="1:18" x14ac:dyDescent="0.3">
      <c r="A66" s="4" t="s">
        <v>269</v>
      </c>
      <c r="B66" s="77" t="s">
        <v>270</v>
      </c>
      <c r="C66" s="78"/>
      <c r="D66" s="78"/>
      <c r="E66" s="78"/>
      <c r="F66" s="78"/>
      <c r="G66" s="79"/>
      <c r="H66" s="108"/>
      <c r="I66" s="109"/>
      <c r="J66" s="108">
        <v>-1900</v>
      </c>
      <c r="K66" s="109"/>
    </row>
    <row r="67" spans="1:18" x14ac:dyDescent="0.3">
      <c r="A67" s="6"/>
      <c r="B67" s="95" t="s">
        <v>273</v>
      </c>
      <c r="C67" s="96"/>
      <c r="D67" s="96"/>
      <c r="E67" s="96"/>
      <c r="F67" s="96"/>
      <c r="G67" s="97"/>
      <c r="H67" s="110"/>
      <c r="I67" s="111"/>
      <c r="J67" s="110">
        <v>-300</v>
      </c>
      <c r="K67" s="111"/>
    </row>
    <row r="68" spans="1:18" x14ac:dyDescent="0.3">
      <c r="A68" s="7" t="s">
        <v>271</v>
      </c>
      <c r="B68" s="92" t="s">
        <v>75</v>
      </c>
      <c r="C68" s="81"/>
      <c r="D68" s="81"/>
      <c r="E68" s="81"/>
      <c r="F68" s="81"/>
      <c r="G68" s="82"/>
      <c r="H68" s="106">
        <v>500</v>
      </c>
      <c r="I68" s="107"/>
      <c r="J68" s="106"/>
      <c r="K68" s="107"/>
      <c r="L68" s="28" t="s">
        <v>179</v>
      </c>
    </row>
    <row r="69" spans="1:18" x14ac:dyDescent="0.3">
      <c r="A69" s="7" t="s">
        <v>272</v>
      </c>
      <c r="B69" s="92" t="s">
        <v>274</v>
      </c>
      <c r="C69" s="81"/>
      <c r="D69" s="81"/>
      <c r="E69" s="81"/>
      <c r="F69" s="81"/>
      <c r="G69" s="82"/>
      <c r="H69" s="106">
        <v>1800</v>
      </c>
      <c r="I69" s="107"/>
      <c r="J69" s="106"/>
      <c r="K69" s="107"/>
      <c r="L69" s="27">
        <f>SUM(J66+J67+H68+H69)</f>
        <v>100</v>
      </c>
    </row>
    <row r="70" spans="1:18" x14ac:dyDescent="0.3">
      <c r="A70" s="4" t="s">
        <v>275</v>
      </c>
      <c r="B70" s="77" t="s">
        <v>276</v>
      </c>
      <c r="C70" s="78"/>
      <c r="D70" s="78"/>
      <c r="E70" s="78"/>
      <c r="F70" s="78"/>
      <c r="G70" s="79"/>
      <c r="H70" s="108"/>
      <c r="I70" s="109"/>
      <c r="J70" s="108">
        <v>-400</v>
      </c>
      <c r="K70" s="109"/>
    </row>
    <row r="71" spans="1:18" x14ac:dyDescent="0.3">
      <c r="A71" s="4"/>
      <c r="B71" s="77" t="s">
        <v>69</v>
      </c>
      <c r="C71" s="78"/>
      <c r="D71" s="78"/>
      <c r="E71" s="78"/>
      <c r="F71" s="78"/>
      <c r="G71" s="79"/>
      <c r="H71" s="108">
        <v>400</v>
      </c>
      <c r="I71" s="109"/>
      <c r="J71" s="108"/>
      <c r="K71" s="109"/>
      <c r="N71" s="1"/>
      <c r="P71" s="1"/>
      <c r="R71" s="34"/>
    </row>
    <row r="72" spans="1:18" x14ac:dyDescent="0.3">
      <c r="A72" s="6"/>
      <c r="B72" s="95" t="s">
        <v>277</v>
      </c>
      <c r="C72" s="96"/>
      <c r="D72" s="96"/>
      <c r="E72" s="96"/>
      <c r="F72" s="96"/>
      <c r="G72" s="97"/>
      <c r="H72" s="110">
        <v>200</v>
      </c>
      <c r="I72" s="111"/>
      <c r="J72" s="110"/>
      <c r="K72" s="111"/>
      <c r="L72" s="28" t="s">
        <v>179</v>
      </c>
      <c r="N72" s="1" t="s">
        <v>278</v>
      </c>
      <c r="P72" s="1" t="s">
        <v>279</v>
      </c>
      <c r="R72" s="33" t="s">
        <v>281</v>
      </c>
    </row>
    <row r="73" spans="1:18" ht="15" thickBot="1" x14ac:dyDescent="0.35">
      <c r="A73" s="10" t="s">
        <v>282</v>
      </c>
      <c r="B73" s="130" t="s">
        <v>283</v>
      </c>
      <c r="C73" s="131"/>
      <c r="D73" s="131"/>
      <c r="E73" s="131"/>
      <c r="F73" s="131"/>
      <c r="G73" s="132"/>
      <c r="H73" s="128"/>
      <c r="I73" s="129"/>
      <c r="J73" s="128">
        <v>-100</v>
      </c>
      <c r="K73" s="129"/>
      <c r="L73" s="27">
        <f>SUM(H70:K73)</f>
        <v>100</v>
      </c>
      <c r="N73" s="12">
        <f>SUM(H65:K73)</f>
        <v>900</v>
      </c>
      <c r="P73" s="12">
        <f>SUM(L65+L69+L73)</f>
        <v>600</v>
      </c>
      <c r="R73" s="9">
        <f>SUM(P55+P63+P73)</f>
        <v>200</v>
      </c>
    </row>
    <row r="74" spans="1:18" x14ac:dyDescent="0.3">
      <c r="A74" s="6" t="s">
        <v>280</v>
      </c>
      <c r="B74" s="95" t="s">
        <v>243</v>
      </c>
      <c r="C74" s="96"/>
      <c r="D74" s="96"/>
      <c r="E74" s="96"/>
      <c r="F74" s="96"/>
      <c r="G74" s="97"/>
      <c r="H74" s="110">
        <v>500</v>
      </c>
      <c r="I74" s="111"/>
      <c r="J74" s="110"/>
      <c r="K74" s="111"/>
      <c r="L74" s="28" t="s">
        <v>179</v>
      </c>
    </row>
    <row r="75" spans="1:18" x14ac:dyDescent="0.3">
      <c r="A75" s="7" t="s">
        <v>284</v>
      </c>
      <c r="B75" s="92" t="s">
        <v>285</v>
      </c>
      <c r="C75" s="81"/>
      <c r="D75" s="81"/>
      <c r="E75" s="81"/>
      <c r="F75" s="81"/>
      <c r="G75" s="82"/>
      <c r="H75" s="106"/>
      <c r="I75" s="107"/>
      <c r="J75" s="106">
        <v>-100</v>
      </c>
      <c r="K75" s="107"/>
      <c r="L75" s="27">
        <f>SUM(H74+J75)</f>
        <v>400</v>
      </c>
    </row>
    <row r="76" spans="1:18" x14ac:dyDescent="0.3">
      <c r="A76" s="7" t="s">
        <v>286</v>
      </c>
      <c r="B76" s="92" t="s">
        <v>287</v>
      </c>
      <c r="C76" s="81"/>
      <c r="D76" s="81"/>
      <c r="E76" s="81"/>
      <c r="F76" s="81"/>
      <c r="G76" s="82"/>
      <c r="H76" s="106"/>
      <c r="I76" s="107"/>
      <c r="J76" s="106">
        <v>-3100</v>
      </c>
      <c r="K76" s="107"/>
    </row>
    <row r="77" spans="1:18" x14ac:dyDescent="0.3">
      <c r="A77" s="4" t="s">
        <v>288</v>
      </c>
      <c r="B77" s="77" t="s">
        <v>69</v>
      </c>
      <c r="C77" s="78"/>
      <c r="D77" s="78"/>
      <c r="E77" s="78"/>
      <c r="F77" s="78"/>
      <c r="G77" s="79"/>
      <c r="H77" s="108">
        <v>3600</v>
      </c>
      <c r="I77" s="109"/>
      <c r="J77" s="108"/>
      <c r="K77" s="109"/>
      <c r="L77" s="28" t="s">
        <v>179</v>
      </c>
    </row>
    <row r="78" spans="1:18" x14ac:dyDescent="0.3">
      <c r="A78" s="6"/>
      <c r="B78" s="95" t="s">
        <v>289</v>
      </c>
      <c r="C78" s="96"/>
      <c r="D78" s="96"/>
      <c r="E78" s="96"/>
      <c r="F78" s="96"/>
      <c r="G78" s="97"/>
      <c r="H78" s="110"/>
      <c r="I78" s="111"/>
      <c r="J78" s="110">
        <v>-100</v>
      </c>
      <c r="K78" s="111"/>
      <c r="L78" s="27">
        <f>SUM(J76+H77+J78)</f>
        <v>400</v>
      </c>
    </row>
    <row r="79" spans="1:18" x14ac:dyDescent="0.3">
      <c r="A79" s="7" t="s">
        <v>290</v>
      </c>
      <c r="B79" s="92" t="s">
        <v>109</v>
      </c>
      <c r="C79" s="81"/>
      <c r="D79" s="81"/>
      <c r="E79" s="81"/>
      <c r="F79" s="81"/>
      <c r="G79" s="82"/>
      <c r="H79" s="106"/>
      <c r="I79" s="107"/>
      <c r="J79" s="106">
        <v>-700</v>
      </c>
      <c r="K79" s="107"/>
      <c r="L79" s="28" t="s">
        <v>179</v>
      </c>
    </row>
    <row r="80" spans="1:18" x14ac:dyDescent="0.3">
      <c r="A80" s="7" t="s">
        <v>291</v>
      </c>
      <c r="B80" s="92" t="s">
        <v>69</v>
      </c>
      <c r="C80" s="81"/>
      <c r="D80" s="81"/>
      <c r="E80" s="81"/>
      <c r="F80" s="81"/>
      <c r="G80" s="82"/>
      <c r="H80" s="106">
        <v>1200</v>
      </c>
      <c r="I80" s="107"/>
      <c r="J80" s="106"/>
      <c r="K80" s="107"/>
      <c r="L80" s="27">
        <f>SUM(J79+H80)</f>
        <v>500</v>
      </c>
    </row>
    <row r="81" spans="1:21" x14ac:dyDescent="0.3">
      <c r="A81" s="18" t="s">
        <v>292</v>
      </c>
      <c r="B81" s="81" t="s">
        <v>295</v>
      </c>
      <c r="C81" s="81"/>
      <c r="D81" s="81"/>
      <c r="E81" s="81"/>
      <c r="F81" s="81"/>
      <c r="G81" s="82"/>
      <c r="H81" s="106"/>
      <c r="I81" s="107"/>
      <c r="J81" s="106">
        <v>-500</v>
      </c>
      <c r="K81" s="107"/>
      <c r="N81" s="1" t="s">
        <v>299</v>
      </c>
      <c r="P81" s="1" t="s">
        <v>300</v>
      </c>
    </row>
    <row r="82" spans="1:21" x14ac:dyDescent="0.3">
      <c r="A82" s="18" t="s">
        <v>294</v>
      </c>
      <c r="B82" s="92" t="s">
        <v>287</v>
      </c>
      <c r="C82" s="81"/>
      <c r="D82" s="81"/>
      <c r="E82" s="81"/>
      <c r="F82" s="81"/>
      <c r="G82" s="82"/>
      <c r="H82" s="106"/>
      <c r="I82" s="107"/>
      <c r="J82" s="106">
        <v>-5000</v>
      </c>
      <c r="K82" s="107"/>
      <c r="N82" s="12">
        <f>SUM(H74:K82)</f>
        <v>-4200</v>
      </c>
      <c r="P82" s="12">
        <f>SUM(L75+L78+L80)</f>
        <v>1300</v>
      </c>
    </row>
    <row r="83" spans="1:21" x14ac:dyDescent="0.3">
      <c r="A83" s="21" t="s">
        <v>296</v>
      </c>
      <c r="B83" s="95" t="s">
        <v>297</v>
      </c>
      <c r="C83" s="96"/>
      <c r="D83" s="96"/>
      <c r="E83" s="96"/>
      <c r="F83" s="96"/>
      <c r="G83" s="97"/>
      <c r="H83" s="110"/>
      <c r="I83" s="111"/>
      <c r="J83" s="110">
        <v>-400</v>
      </c>
      <c r="K83" s="111"/>
      <c r="L83" s="30" t="s">
        <v>222</v>
      </c>
    </row>
    <row r="84" spans="1:21" x14ac:dyDescent="0.3">
      <c r="A84" s="18" t="s">
        <v>293</v>
      </c>
      <c r="B84" s="92" t="s">
        <v>298</v>
      </c>
      <c r="C84" s="81"/>
      <c r="D84" s="81"/>
      <c r="E84" s="81"/>
      <c r="F84" s="81"/>
      <c r="G84" s="82"/>
      <c r="H84" s="106">
        <v>1800</v>
      </c>
      <c r="I84" s="107"/>
      <c r="J84" s="106"/>
      <c r="K84" s="107"/>
      <c r="L84" s="27">
        <f>SUM(J82+J83+H84)</f>
        <v>-3600</v>
      </c>
    </row>
    <row r="85" spans="1:21" x14ac:dyDescent="0.3">
      <c r="A85" s="18" t="s">
        <v>301</v>
      </c>
      <c r="B85" s="92" t="s">
        <v>302</v>
      </c>
      <c r="C85" s="81"/>
      <c r="D85" s="81"/>
      <c r="E85" s="81"/>
      <c r="F85" s="81"/>
      <c r="G85" s="82"/>
      <c r="H85" s="106"/>
      <c r="I85" s="107"/>
      <c r="J85" s="106">
        <v>-300</v>
      </c>
      <c r="K85" s="107"/>
    </row>
    <row r="86" spans="1:21" x14ac:dyDescent="0.3">
      <c r="A86" s="18" t="s">
        <v>303</v>
      </c>
      <c r="B86" s="92" t="s">
        <v>302</v>
      </c>
      <c r="C86" s="81"/>
      <c r="D86" s="81"/>
      <c r="E86" s="81"/>
      <c r="F86" s="81"/>
      <c r="G86" s="82"/>
      <c r="H86" s="106"/>
      <c r="I86" s="107"/>
      <c r="J86" s="106">
        <v>-200</v>
      </c>
      <c r="K86" s="107"/>
    </row>
    <row r="87" spans="1:21" x14ac:dyDescent="0.3">
      <c r="A87" s="35" t="s">
        <v>304</v>
      </c>
      <c r="B87" s="166" t="s">
        <v>305</v>
      </c>
      <c r="C87" s="167"/>
      <c r="D87" s="167"/>
      <c r="E87" s="167"/>
      <c r="F87" s="167"/>
      <c r="G87" s="168"/>
      <c r="H87" s="161"/>
      <c r="I87" s="162"/>
      <c r="J87" s="161">
        <v>-3000</v>
      </c>
      <c r="K87" s="162"/>
      <c r="L87" s="30" t="s">
        <v>309</v>
      </c>
      <c r="U87" t="s">
        <v>306</v>
      </c>
    </row>
    <row r="88" spans="1:21" x14ac:dyDescent="0.3">
      <c r="A88" s="37" t="s">
        <v>307</v>
      </c>
      <c r="B88" s="92" t="s">
        <v>308</v>
      </c>
      <c r="C88" s="81"/>
      <c r="D88" s="81"/>
      <c r="E88" s="81"/>
      <c r="F88" s="81"/>
      <c r="G88" s="82"/>
      <c r="H88" s="106">
        <v>1800</v>
      </c>
      <c r="I88" s="107"/>
      <c r="J88" s="106"/>
      <c r="K88" s="107"/>
      <c r="L88" s="27">
        <f>SUM(J85+J86+J87+H88)</f>
        <v>-1700</v>
      </c>
    </row>
    <row r="89" spans="1:21" x14ac:dyDescent="0.3">
      <c r="A89" s="18" t="s">
        <v>310</v>
      </c>
      <c r="B89" s="92" t="s">
        <v>311</v>
      </c>
      <c r="C89" s="81"/>
      <c r="D89" s="81"/>
      <c r="E89" s="81"/>
      <c r="F89" s="81"/>
      <c r="G89" s="82"/>
      <c r="H89" s="106"/>
      <c r="I89" s="107"/>
      <c r="J89" s="106">
        <v>-100</v>
      </c>
      <c r="K89" s="107"/>
    </row>
    <row r="90" spans="1:21" x14ac:dyDescent="0.3">
      <c r="A90" s="18" t="s">
        <v>312</v>
      </c>
      <c r="B90" s="92" t="s">
        <v>313</v>
      </c>
      <c r="C90" s="81"/>
      <c r="D90" s="81"/>
      <c r="E90" s="81"/>
      <c r="F90" s="81"/>
      <c r="G90" s="82"/>
      <c r="H90" s="106"/>
      <c r="I90" s="107"/>
      <c r="J90" s="106">
        <v>-100</v>
      </c>
      <c r="K90" s="107"/>
      <c r="L90" s="28" t="s">
        <v>314</v>
      </c>
    </row>
    <row r="91" spans="1:21" x14ac:dyDescent="0.3">
      <c r="A91" s="38" t="s">
        <v>307</v>
      </c>
      <c r="B91" s="95" t="s">
        <v>319</v>
      </c>
      <c r="C91" s="96"/>
      <c r="D91" s="96"/>
      <c r="E91" s="96"/>
      <c r="F91" s="96"/>
      <c r="G91" s="97"/>
      <c r="H91" s="110">
        <v>2200</v>
      </c>
      <c r="I91" s="111"/>
      <c r="J91" s="110"/>
      <c r="K91" s="111"/>
      <c r="L91" s="36">
        <f>SUM(J89+J90+H91)</f>
        <v>2000</v>
      </c>
    </row>
    <row r="92" spans="1:21" x14ac:dyDescent="0.3">
      <c r="A92" s="18" t="s">
        <v>315</v>
      </c>
      <c r="B92" s="92" t="s">
        <v>316</v>
      </c>
      <c r="C92" s="81"/>
      <c r="D92" s="81"/>
      <c r="E92" s="81"/>
      <c r="F92" s="81"/>
      <c r="G92" s="82"/>
      <c r="H92" s="106"/>
      <c r="I92" s="107"/>
      <c r="J92" s="106">
        <v>-500</v>
      </c>
      <c r="K92" s="107"/>
    </row>
    <row r="93" spans="1:21" x14ac:dyDescent="0.3">
      <c r="A93" s="18" t="s">
        <v>317</v>
      </c>
      <c r="B93" s="92" t="s">
        <v>287</v>
      </c>
      <c r="C93" s="81"/>
      <c r="D93" s="81"/>
      <c r="E93" s="81"/>
      <c r="F93" s="81"/>
      <c r="G93" s="82"/>
      <c r="H93" s="106"/>
      <c r="I93" s="107"/>
      <c r="J93" s="106">
        <v>-2400</v>
      </c>
      <c r="K93" s="107"/>
      <c r="L93" s="30" t="s">
        <v>195</v>
      </c>
    </row>
    <row r="94" spans="1:21" x14ac:dyDescent="0.3">
      <c r="A94" s="18" t="s">
        <v>307</v>
      </c>
      <c r="B94" s="92" t="s">
        <v>318</v>
      </c>
      <c r="C94" s="81"/>
      <c r="D94" s="81"/>
      <c r="E94" s="81"/>
      <c r="F94" s="81"/>
      <c r="G94" s="82"/>
      <c r="H94" s="106">
        <v>2000</v>
      </c>
      <c r="I94" s="107"/>
      <c r="J94" s="106"/>
      <c r="K94" s="107"/>
      <c r="L94" s="27">
        <f>SUM(J92+J93+H94)</f>
        <v>-900</v>
      </c>
    </row>
    <row r="95" spans="1:21" x14ac:dyDescent="0.3">
      <c r="A95" s="18" t="s">
        <v>320</v>
      </c>
      <c r="B95" s="92" t="s">
        <v>321</v>
      </c>
      <c r="C95" s="81"/>
      <c r="D95" s="81"/>
      <c r="E95" s="81"/>
      <c r="F95" s="81"/>
      <c r="G95" s="82"/>
      <c r="H95" s="106"/>
      <c r="I95" s="107"/>
      <c r="J95" s="106">
        <v>-300</v>
      </c>
      <c r="K95" s="107"/>
      <c r="L95" s="28" t="s">
        <v>179</v>
      </c>
      <c r="N95" s="1" t="s">
        <v>323</v>
      </c>
      <c r="P95" s="1" t="s">
        <v>324</v>
      </c>
    </row>
    <row r="96" spans="1:21" x14ac:dyDescent="0.3">
      <c r="A96" s="21" t="s">
        <v>322</v>
      </c>
      <c r="B96" s="95" t="s">
        <v>336</v>
      </c>
      <c r="C96" s="96"/>
      <c r="D96" s="96"/>
      <c r="E96" s="96"/>
      <c r="F96" s="96"/>
      <c r="G96" s="97"/>
      <c r="H96" s="110">
        <v>800</v>
      </c>
      <c r="I96" s="111"/>
      <c r="J96" s="110"/>
      <c r="K96" s="111"/>
      <c r="L96" s="27">
        <f>SUM(J95+H96)</f>
        <v>500</v>
      </c>
      <c r="N96" s="5">
        <f>SUM(H83:K96)</f>
        <v>1300</v>
      </c>
      <c r="P96" s="5">
        <f>SUM(L84+L88+L91+L94+L96)</f>
        <v>-3700</v>
      </c>
    </row>
    <row r="97" spans="1:21" x14ac:dyDescent="0.3">
      <c r="A97" s="18" t="s">
        <v>325</v>
      </c>
      <c r="B97" s="92" t="s">
        <v>321</v>
      </c>
      <c r="C97" s="81"/>
      <c r="D97" s="81"/>
      <c r="E97" s="81"/>
      <c r="F97" s="81"/>
      <c r="G97" s="82"/>
      <c r="H97" s="106"/>
      <c r="I97" s="107"/>
      <c r="J97" s="106">
        <v>-300</v>
      </c>
      <c r="K97" s="107"/>
    </row>
    <row r="98" spans="1:21" x14ac:dyDescent="0.3">
      <c r="A98" s="18" t="s">
        <v>326</v>
      </c>
      <c r="B98" s="92" t="s">
        <v>243</v>
      </c>
      <c r="C98" s="81"/>
      <c r="D98" s="81"/>
      <c r="E98" s="81"/>
      <c r="F98" s="81"/>
      <c r="G98" s="82"/>
      <c r="H98" s="106">
        <v>1000</v>
      </c>
      <c r="I98" s="107"/>
      <c r="J98" s="106"/>
      <c r="K98" s="107"/>
    </row>
    <row r="99" spans="1:21" x14ac:dyDescent="0.3">
      <c r="A99" s="18" t="s">
        <v>327</v>
      </c>
      <c r="B99" s="92" t="s">
        <v>328</v>
      </c>
      <c r="C99" s="81"/>
      <c r="D99" s="81"/>
      <c r="E99" s="81"/>
      <c r="F99" s="81"/>
      <c r="G99" s="82"/>
      <c r="H99" s="106"/>
      <c r="I99" s="107"/>
      <c r="J99" s="106">
        <v>-200</v>
      </c>
      <c r="K99" s="107"/>
      <c r="L99" s="28" t="s">
        <v>241</v>
      </c>
    </row>
    <row r="100" spans="1:21" x14ac:dyDescent="0.3">
      <c r="A100" s="19" t="s">
        <v>329</v>
      </c>
      <c r="B100" s="125" t="s">
        <v>337</v>
      </c>
      <c r="C100" s="126"/>
      <c r="D100" s="126"/>
      <c r="E100" s="126"/>
      <c r="F100" s="126"/>
      <c r="G100" s="127"/>
      <c r="H100" s="117">
        <v>700</v>
      </c>
      <c r="I100" s="118"/>
      <c r="J100" s="117"/>
      <c r="K100" s="118"/>
      <c r="L100" s="27">
        <f>SUM(J97+H98+J99+H100)</f>
        <v>1200</v>
      </c>
    </row>
    <row r="101" spans="1:21" x14ac:dyDescent="0.3">
      <c r="A101" s="21"/>
      <c r="B101" s="95" t="s">
        <v>186</v>
      </c>
      <c r="C101" s="96"/>
      <c r="D101" s="96"/>
      <c r="E101" s="96"/>
      <c r="F101" s="96"/>
      <c r="G101" s="97"/>
      <c r="H101" s="110"/>
      <c r="I101" s="111"/>
      <c r="J101" s="110">
        <v>-400</v>
      </c>
      <c r="K101" s="111"/>
      <c r="L101" s="28" t="s">
        <v>179</v>
      </c>
    </row>
    <row r="102" spans="1:21" x14ac:dyDescent="0.3">
      <c r="A102" s="18" t="s">
        <v>330</v>
      </c>
      <c r="B102" s="92" t="s">
        <v>122</v>
      </c>
      <c r="C102" s="81"/>
      <c r="D102" s="81"/>
      <c r="E102" s="81"/>
      <c r="F102" s="81"/>
      <c r="G102" s="82"/>
      <c r="H102" s="106">
        <v>800</v>
      </c>
      <c r="I102" s="107"/>
      <c r="J102" s="106"/>
      <c r="K102" s="107"/>
      <c r="L102" s="27">
        <f>SUM(J101+H102)</f>
        <v>400</v>
      </c>
    </row>
    <row r="103" spans="1:21" x14ac:dyDescent="0.3">
      <c r="A103" s="18" t="s">
        <v>331</v>
      </c>
      <c r="B103" s="92" t="s">
        <v>109</v>
      </c>
      <c r="C103" s="81"/>
      <c r="D103" s="81"/>
      <c r="E103" s="81"/>
      <c r="F103" s="81"/>
      <c r="G103" s="82"/>
      <c r="H103" s="106"/>
      <c r="I103" s="107"/>
      <c r="J103" s="106">
        <v>-400</v>
      </c>
      <c r="K103" s="107"/>
    </row>
    <row r="104" spans="1:21" x14ac:dyDescent="0.3">
      <c r="A104" s="18" t="s">
        <v>332</v>
      </c>
      <c r="B104" s="92" t="s">
        <v>109</v>
      </c>
      <c r="C104" s="81"/>
      <c r="D104" s="81"/>
      <c r="E104" s="81"/>
      <c r="F104" s="81"/>
      <c r="G104" s="82"/>
      <c r="H104" s="106"/>
      <c r="I104" s="107"/>
      <c r="J104" s="106">
        <v>-300</v>
      </c>
      <c r="K104" s="107"/>
      <c r="L104" s="28" t="s">
        <v>179</v>
      </c>
    </row>
    <row r="105" spans="1:21" x14ac:dyDescent="0.3">
      <c r="A105" s="18" t="s">
        <v>667</v>
      </c>
      <c r="B105" s="92" t="s">
        <v>333</v>
      </c>
      <c r="C105" s="81"/>
      <c r="D105" s="81"/>
      <c r="E105" s="81"/>
      <c r="F105" s="81"/>
      <c r="G105" s="82"/>
      <c r="H105" s="106">
        <v>900</v>
      </c>
      <c r="I105" s="107"/>
      <c r="J105" s="106"/>
      <c r="K105" s="107"/>
      <c r="L105" s="27">
        <f>SUM(J103+J104+H105)</f>
        <v>200</v>
      </c>
    </row>
    <row r="106" spans="1:21" x14ac:dyDescent="0.3">
      <c r="A106" s="18" t="s">
        <v>334</v>
      </c>
      <c r="B106" s="92" t="s">
        <v>109</v>
      </c>
      <c r="C106" s="81"/>
      <c r="D106" s="81"/>
      <c r="E106" s="81"/>
      <c r="F106" s="81"/>
      <c r="G106" s="82"/>
      <c r="H106" s="106"/>
      <c r="I106" s="107"/>
      <c r="J106" s="106">
        <v>-400</v>
      </c>
      <c r="K106" s="107"/>
      <c r="L106" s="28" t="s">
        <v>179</v>
      </c>
    </row>
    <row r="107" spans="1:21" x14ac:dyDescent="0.3">
      <c r="A107" s="20" t="s">
        <v>335</v>
      </c>
      <c r="B107" s="77" t="s">
        <v>338</v>
      </c>
      <c r="C107" s="78"/>
      <c r="D107" s="78"/>
      <c r="E107" s="78"/>
      <c r="F107" s="78"/>
      <c r="G107" s="79"/>
      <c r="H107" s="108">
        <v>700</v>
      </c>
      <c r="I107" s="109"/>
      <c r="J107" s="108"/>
      <c r="K107" s="109"/>
      <c r="L107" s="27">
        <f>SUM(J106+H107)</f>
        <v>300</v>
      </c>
      <c r="N107" s="1" t="s">
        <v>345</v>
      </c>
      <c r="P107" s="1" t="s">
        <v>346</v>
      </c>
      <c r="R107" s="22" t="s">
        <v>395</v>
      </c>
    </row>
    <row r="108" spans="1:21" ht="15" thickBot="1" x14ac:dyDescent="0.35">
      <c r="A108" s="39"/>
      <c r="B108" s="104" t="s">
        <v>109</v>
      </c>
      <c r="C108" s="75"/>
      <c r="D108" s="75"/>
      <c r="E108" s="75"/>
      <c r="F108" s="75"/>
      <c r="G108" s="105"/>
      <c r="H108" s="113"/>
      <c r="I108" s="114"/>
      <c r="J108" s="113">
        <v>-400</v>
      </c>
      <c r="K108" s="114"/>
      <c r="N108" s="5">
        <f>SUM(H97:K108)</f>
        <v>1700</v>
      </c>
      <c r="P108" s="5">
        <f>SUM(L100+L102+L105+L107)</f>
        <v>2100</v>
      </c>
      <c r="R108" s="23">
        <f>SUM(P82+P96+P108)</f>
        <v>-300</v>
      </c>
    </row>
    <row r="109" spans="1:21" x14ac:dyDescent="0.3">
      <c r="A109" s="40" t="s">
        <v>341</v>
      </c>
      <c r="B109" s="163" t="s">
        <v>342</v>
      </c>
      <c r="C109" s="164"/>
      <c r="D109" s="164"/>
      <c r="E109" s="164"/>
      <c r="F109" s="164"/>
      <c r="G109" s="165"/>
      <c r="H109" s="159"/>
      <c r="I109" s="160"/>
      <c r="J109" s="159">
        <v>-1500</v>
      </c>
      <c r="K109" s="160"/>
      <c r="L109" s="30" t="s">
        <v>195</v>
      </c>
      <c r="U109" t="s">
        <v>306</v>
      </c>
    </row>
    <row r="110" spans="1:21" x14ac:dyDescent="0.3">
      <c r="A110" s="20" t="s">
        <v>339</v>
      </c>
      <c r="B110" s="77" t="s">
        <v>340</v>
      </c>
      <c r="C110" s="78"/>
      <c r="D110" s="78"/>
      <c r="E110" s="78"/>
      <c r="F110" s="78"/>
      <c r="G110" s="79"/>
      <c r="H110" s="117">
        <v>600</v>
      </c>
      <c r="I110" s="118"/>
      <c r="J110" s="108"/>
      <c r="K110" s="109"/>
      <c r="L110" s="27">
        <f>SUM(J108+J109+H110)</f>
        <v>-1300</v>
      </c>
    </row>
    <row r="111" spans="1:21" x14ac:dyDescent="0.3">
      <c r="A111" s="21"/>
      <c r="B111" s="95" t="s">
        <v>109</v>
      </c>
      <c r="C111" s="96"/>
      <c r="D111" s="96"/>
      <c r="E111" s="96"/>
      <c r="F111" s="96"/>
      <c r="G111" s="97"/>
      <c r="H111" s="110"/>
      <c r="I111" s="111"/>
      <c r="J111" s="110">
        <v>-500</v>
      </c>
      <c r="K111" s="111"/>
    </row>
    <row r="112" spans="1:21" x14ac:dyDescent="0.3">
      <c r="A112" s="18" t="s">
        <v>343</v>
      </c>
      <c r="B112" s="92" t="s">
        <v>109</v>
      </c>
      <c r="C112" s="81"/>
      <c r="D112" s="81"/>
      <c r="E112" s="81"/>
      <c r="F112" s="81"/>
      <c r="G112" s="82"/>
      <c r="H112" s="106"/>
      <c r="I112" s="107"/>
      <c r="J112" s="106">
        <v>-200</v>
      </c>
      <c r="K112" s="107"/>
      <c r="L112" s="28" t="s">
        <v>179</v>
      </c>
    </row>
    <row r="113" spans="1:16" x14ac:dyDescent="0.3">
      <c r="A113" s="18" t="s">
        <v>344</v>
      </c>
      <c r="B113" s="92" t="s">
        <v>122</v>
      </c>
      <c r="C113" s="81"/>
      <c r="D113" s="81"/>
      <c r="E113" s="81"/>
      <c r="F113" s="81"/>
      <c r="G113" s="82"/>
      <c r="H113" s="106">
        <v>1400</v>
      </c>
      <c r="I113" s="107"/>
      <c r="J113" s="106"/>
      <c r="K113" s="107"/>
      <c r="L113" s="27">
        <f>SUM(J111+J112+H113)</f>
        <v>700</v>
      </c>
    </row>
    <row r="114" spans="1:16" x14ac:dyDescent="0.3">
      <c r="A114" s="18" t="s">
        <v>347</v>
      </c>
      <c r="B114" s="92" t="s">
        <v>109</v>
      </c>
      <c r="C114" s="81"/>
      <c r="D114" s="81"/>
      <c r="E114" s="81"/>
      <c r="F114" s="81"/>
      <c r="G114" s="82"/>
      <c r="H114" s="106"/>
      <c r="I114" s="107"/>
      <c r="J114" s="106">
        <v>-500</v>
      </c>
      <c r="K114" s="107"/>
    </row>
    <row r="115" spans="1:16" x14ac:dyDescent="0.3">
      <c r="A115" s="18" t="s">
        <v>348</v>
      </c>
      <c r="B115" s="92" t="s">
        <v>349</v>
      </c>
      <c r="C115" s="81"/>
      <c r="D115" s="81"/>
      <c r="E115" s="81"/>
      <c r="F115" s="81"/>
      <c r="G115" s="82"/>
      <c r="H115" s="106"/>
      <c r="I115" s="107"/>
      <c r="J115" s="106">
        <v>-200</v>
      </c>
      <c r="K115" s="107"/>
      <c r="L115" s="28" t="s">
        <v>179</v>
      </c>
    </row>
    <row r="116" spans="1:16" x14ac:dyDescent="0.3">
      <c r="A116" s="20" t="s">
        <v>350</v>
      </c>
      <c r="B116" s="77" t="s">
        <v>351</v>
      </c>
      <c r="C116" s="78"/>
      <c r="D116" s="78"/>
      <c r="E116" s="78"/>
      <c r="F116" s="78"/>
      <c r="G116" s="79"/>
      <c r="H116" s="108">
        <v>1300</v>
      </c>
      <c r="I116" s="109"/>
      <c r="J116" s="108"/>
      <c r="K116" s="109"/>
      <c r="L116" s="27">
        <f>SUM(J114+J115+H116)</f>
        <v>600</v>
      </c>
    </row>
    <row r="117" spans="1:16" x14ac:dyDescent="0.3">
      <c r="A117" s="21"/>
      <c r="B117" s="95" t="s">
        <v>109</v>
      </c>
      <c r="C117" s="96"/>
      <c r="D117" s="96"/>
      <c r="E117" s="96"/>
      <c r="F117" s="96"/>
      <c r="G117" s="97"/>
      <c r="H117" s="110"/>
      <c r="I117" s="111"/>
      <c r="J117" s="110">
        <v>-500</v>
      </c>
      <c r="K117" s="111"/>
      <c r="L117" s="31" t="s">
        <v>226</v>
      </c>
    </row>
    <row r="118" spans="1:16" x14ac:dyDescent="0.3">
      <c r="A118" s="18" t="s">
        <v>352</v>
      </c>
      <c r="B118" s="92" t="s">
        <v>122</v>
      </c>
      <c r="C118" s="81"/>
      <c r="D118" s="81"/>
      <c r="E118" s="81"/>
      <c r="F118" s="81"/>
      <c r="G118" s="82"/>
      <c r="H118" s="106">
        <v>500</v>
      </c>
      <c r="I118" s="107"/>
      <c r="J118" s="106"/>
      <c r="K118" s="107"/>
      <c r="L118" s="27">
        <f>SUM(J117+H118)</f>
        <v>0</v>
      </c>
      <c r="N118" s="1" t="s">
        <v>355</v>
      </c>
      <c r="P118" s="1" t="s">
        <v>356</v>
      </c>
    </row>
    <row r="119" spans="1:16" x14ac:dyDescent="0.3">
      <c r="A119" s="18" t="s">
        <v>353</v>
      </c>
      <c r="B119" s="92" t="s">
        <v>109</v>
      </c>
      <c r="C119" s="81"/>
      <c r="D119" s="81"/>
      <c r="E119" s="81"/>
      <c r="F119" s="81"/>
      <c r="G119" s="82"/>
      <c r="H119" s="106"/>
      <c r="I119" s="107"/>
      <c r="J119" s="106">
        <v>-500</v>
      </c>
      <c r="K119" s="107"/>
      <c r="L119" s="28" t="s">
        <v>179</v>
      </c>
      <c r="N119" s="5">
        <f>SUM(H109:K119)</f>
        <v>-100</v>
      </c>
      <c r="P119" s="5">
        <f>SUM(L110+L113+L116+L118)</f>
        <v>0</v>
      </c>
    </row>
    <row r="120" spans="1:16" x14ac:dyDescent="0.3">
      <c r="A120" s="21" t="s">
        <v>354</v>
      </c>
      <c r="B120" s="95" t="s">
        <v>122</v>
      </c>
      <c r="C120" s="96"/>
      <c r="D120" s="96"/>
      <c r="E120" s="96"/>
      <c r="F120" s="96"/>
      <c r="G120" s="97"/>
      <c r="H120" s="110">
        <v>1100</v>
      </c>
      <c r="I120" s="111"/>
      <c r="J120" s="110"/>
      <c r="K120" s="111"/>
      <c r="L120" s="27">
        <f>SUM(J119+H120)</f>
        <v>600</v>
      </c>
    </row>
    <row r="121" spans="1:16" x14ac:dyDescent="0.3">
      <c r="A121" s="18" t="s">
        <v>357</v>
      </c>
      <c r="B121" s="92" t="s">
        <v>109</v>
      </c>
      <c r="C121" s="81"/>
      <c r="D121" s="81"/>
      <c r="E121" s="81"/>
      <c r="F121" s="81"/>
      <c r="G121" s="82"/>
      <c r="H121" s="106"/>
      <c r="I121" s="107"/>
      <c r="J121" s="106">
        <v>-500</v>
      </c>
      <c r="K121" s="107"/>
    </row>
    <row r="122" spans="1:16" x14ac:dyDescent="0.3">
      <c r="A122" s="18" t="s">
        <v>358</v>
      </c>
      <c r="B122" s="92" t="s">
        <v>236</v>
      </c>
      <c r="C122" s="81"/>
      <c r="D122" s="81"/>
      <c r="E122" s="81"/>
      <c r="F122" s="81"/>
      <c r="G122" s="82"/>
      <c r="H122" s="106"/>
      <c r="I122" s="107"/>
      <c r="J122" s="106">
        <v>-1700</v>
      </c>
      <c r="K122" s="107"/>
      <c r="L122" s="30" t="s">
        <v>195</v>
      </c>
    </row>
    <row r="123" spans="1:16" x14ac:dyDescent="0.3">
      <c r="A123" s="20" t="s">
        <v>359</v>
      </c>
      <c r="B123" s="77" t="s">
        <v>360</v>
      </c>
      <c r="C123" s="78"/>
      <c r="D123" s="78"/>
      <c r="E123" s="78"/>
      <c r="F123" s="78"/>
      <c r="G123" s="79"/>
      <c r="H123" s="108">
        <v>1400</v>
      </c>
      <c r="I123" s="109"/>
      <c r="J123" s="108"/>
      <c r="K123" s="109"/>
      <c r="L123" s="27">
        <f>SUM(J121+J122+H123)</f>
        <v>-800</v>
      </c>
    </row>
    <row r="124" spans="1:16" x14ac:dyDescent="0.3">
      <c r="A124" s="21"/>
      <c r="B124" s="95" t="s">
        <v>109</v>
      </c>
      <c r="C124" s="96"/>
      <c r="D124" s="96"/>
      <c r="E124" s="96"/>
      <c r="F124" s="96"/>
      <c r="G124" s="97"/>
      <c r="H124" s="110"/>
      <c r="I124" s="111"/>
      <c r="J124" s="110">
        <v>-500</v>
      </c>
      <c r="K124" s="111"/>
      <c r="L124" s="28" t="s">
        <v>179</v>
      </c>
    </row>
    <row r="125" spans="1:16" x14ac:dyDescent="0.3">
      <c r="A125" s="18" t="s">
        <v>361</v>
      </c>
      <c r="B125" s="92" t="s">
        <v>122</v>
      </c>
      <c r="C125" s="81"/>
      <c r="D125" s="81"/>
      <c r="E125" s="81"/>
      <c r="F125" s="81"/>
      <c r="G125" s="82"/>
      <c r="H125" s="106">
        <v>1100</v>
      </c>
      <c r="I125" s="107"/>
      <c r="J125" s="106"/>
      <c r="K125" s="107"/>
      <c r="L125" s="27">
        <f>SUM(J124+H125)</f>
        <v>600</v>
      </c>
    </row>
    <row r="126" spans="1:16" x14ac:dyDescent="0.3">
      <c r="A126" s="18" t="s">
        <v>362</v>
      </c>
      <c r="B126" s="92" t="s">
        <v>365</v>
      </c>
      <c r="C126" s="81"/>
      <c r="D126" s="81"/>
      <c r="E126" s="81"/>
      <c r="F126" s="81"/>
      <c r="G126" s="82"/>
      <c r="H126" s="106"/>
      <c r="I126" s="107"/>
      <c r="J126" s="106">
        <v>-500</v>
      </c>
      <c r="K126" s="107"/>
    </row>
    <row r="127" spans="1:16" x14ac:dyDescent="0.3">
      <c r="A127" s="18" t="s">
        <v>363</v>
      </c>
      <c r="B127" s="92" t="s">
        <v>366</v>
      </c>
      <c r="C127" s="81"/>
      <c r="D127" s="81"/>
      <c r="E127" s="81"/>
      <c r="F127" s="81"/>
      <c r="G127" s="82"/>
      <c r="H127" s="106"/>
      <c r="I127" s="107"/>
      <c r="J127" s="106">
        <v>-500</v>
      </c>
      <c r="K127" s="107"/>
    </row>
    <row r="128" spans="1:16" x14ac:dyDescent="0.3">
      <c r="A128" s="20" t="s">
        <v>364</v>
      </c>
      <c r="B128" s="77" t="s">
        <v>367</v>
      </c>
      <c r="C128" s="78"/>
      <c r="D128" s="78"/>
      <c r="E128" s="78"/>
      <c r="F128" s="78"/>
      <c r="G128" s="79"/>
      <c r="H128" s="108">
        <v>1000</v>
      </c>
      <c r="I128" s="109"/>
      <c r="J128" s="108"/>
      <c r="K128" s="109"/>
      <c r="L128" s="28" t="s">
        <v>241</v>
      </c>
    </row>
    <row r="129" spans="1:16" x14ac:dyDescent="0.3">
      <c r="A129" s="21"/>
      <c r="B129" s="95" t="s">
        <v>122</v>
      </c>
      <c r="C129" s="96"/>
      <c r="D129" s="96"/>
      <c r="E129" s="96"/>
      <c r="F129" s="96"/>
      <c r="G129" s="97"/>
      <c r="H129" s="110">
        <v>1200</v>
      </c>
      <c r="I129" s="111"/>
      <c r="J129" s="110"/>
      <c r="K129" s="111"/>
      <c r="L129" s="27">
        <f>SUM(J126+J127+H128+H129)</f>
        <v>1200</v>
      </c>
    </row>
    <row r="130" spans="1:16" x14ac:dyDescent="0.3">
      <c r="A130" s="18" t="s">
        <v>368</v>
      </c>
      <c r="B130" s="92" t="s">
        <v>109</v>
      </c>
      <c r="C130" s="81"/>
      <c r="D130" s="81"/>
      <c r="E130" s="81"/>
      <c r="F130" s="81"/>
      <c r="G130" s="82"/>
      <c r="H130" s="106"/>
      <c r="I130" s="107"/>
      <c r="J130" s="106">
        <v>-500</v>
      </c>
      <c r="K130" s="107"/>
    </row>
    <row r="131" spans="1:16" x14ac:dyDescent="0.3">
      <c r="A131" s="18" t="s">
        <v>369</v>
      </c>
      <c r="B131" s="92" t="s">
        <v>109</v>
      </c>
      <c r="C131" s="81"/>
      <c r="D131" s="81"/>
      <c r="E131" s="81"/>
      <c r="F131" s="81"/>
      <c r="G131" s="82"/>
      <c r="H131" s="106"/>
      <c r="I131" s="107"/>
      <c r="J131" s="106">
        <v>-100</v>
      </c>
      <c r="K131" s="107"/>
      <c r="N131" s="1" t="s">
        <v>389</v>
      </c>
      <c r="P131" s="1" t="s">
        <v>390</v>
      </c>
    </row>
    <row r="132" spans="1:16" x14ac:dyDescent="0.3">
      <c r="A132" s="18" t="s">
        <v>370</v>
      </c>
      <c r="B132" s="92" t="s">
        <v>109</v>
      </c>
      <c r="C132" s="81"/>
      <c r="D132" s="81"/>
      <c r="E132" s="81"/>
      <c r="F132" s="81"/>
      <c r="G132" s="82"/>
      <c r="H132" s="106"/>
      <c r="I132" s="107"/>
      <c r="J132" s="106">
        <v>-200</v>
      </c>
      <c r="K132" s="107"/>
      <c r="L132" s="30" t="s">
        <v>195</v>
      </c>
      <c r="N132" s="5">
        <f>SUM(H120:K132)</f>
        <v>1300</v>
      </c>
      <c r="P132" s="5">
        <f>SUM(L120+L123+L125+L129)</f>
        <v>1600</v>
      </c>
    </row>
    <row r="133" spans="1:16" x14ac:dyDescent="0.3">
      <c r="A133" s="20" t="s">
        <v>371</v>
      </c>
      <c r="B133" s="77" t="s">
        <v>122</v>
      </c>
      <c r="C133" s="78"/>
      <c r="D133" s="78"/>
      <c r="E133" s="78"/>
      <c r="F133" s="78"/>
      <c r="G133" s="79"/>
      <c r="H133" s="108">
        <v>200</v>
      </c>
      <c r="I133" s="109"/>
      <c r="J133" s="108"/>
      <c r="K133" s="109"/>
      <c r="L133" s="27">
        <f>SUM(J130+J131+J132+H133)</f>
        <v>-600</v>
      </c>
    </row>
    <row r="134" spans="1:16" x14ac:dyDescent="0.3">
      <c r="A134" s="21"/>
      <c r="B134" s="95" t="s">
        <v>109</v>
      </c>
      <c r="C134" s="96"/>
      <c r="D134" s="96"/>
      <c r="E134" s="96"/>
      <c r="F134" s="96"/>
      <c r="G134" s="97"/>
      <c r="H134" s="110"/>
      <c r="I134" s="111"/>
      <c r="J134" s="110">
        <v>-500</v>
      </c>
      <c r="K134" s="111"/>
    </row>
    <row r="135" spans="1:16" x14ac:dyDescent="0.3">
      <c r="A135" s="20" t="s">
        <v>372</v>
      </c>
      <c r="B135" s="77" t="s">
        <v>109</v>
      </c>
      <c r="C135" s="78"/>
      <c r="D135" s="78"/>
      <c r="E135" s="78"/>
      <c r="F135" s="78"/>
      <c r="G135" s="79"/>
      <c r="H135" s="108"/>
      <c r="I135" s="109"/>
      <c r="J135" s="108">
        <v>-900</v>
      </c>
      <c r="K135" s="109"/>
    </row>
    <row r="136" spans="1:16" x14ac:dyDescent="0.3">
      <c r="A136" s="21"/>
      <c r="B136" s="95" t="s">
        <v>373</v>
      </c>
      <c r="C136" s="96"/>
      <c r="D136" s="96"/>
      <c r="E136" s="96"/>
      <c r="F136" s="96"/>
      <c r="G136" s="97"/>
      <c r="H136" s="110">
        <v>5000</v>
      </c>
      <c r="I136" s="111"/>
      <c r="J136" s="110"/>
      <c r="K136" s="111"/>
    </row>
    <row r="137" spans="1:16" x14ac:dyDescent="0.3">
      <c r="A137" s="18" t="s">
        <v>374</v>
      </c>
      <c r="B137" s="92" t="s">
        <v>375</v>
      </c>
      <c r="C137" s="81"/>
      <c r="D137" s="81"/>
      <c r="E137" s="81"/>
      <c r="F137" s="81"/>
      <c r="G137" s="82"/>
      <c r="H137" s="106">
        <v>1500</v>
      </c>
      <c r="I137" s="107"/>
      <c r="J137" s="106"/>
      <c r="K137" s="107"/>
      <c r="L137" s="28" t="s">
        <v>377</v>
      </c>
    </row>
    <row r="138" spans="1:16" x14ac:dyDescent="0.3">
      <c r="A138" s="20" t="s">
        <v>376</v>
      </c>
      <c r="B138" s="77" t="s">
        <v>383</v>
      </c>
      <c r="C138" s="78"/>
      <c r="D138" s="78"/>
      <c r="E138" s="78"/>
      <c r="F138" s="78"/>
      <c r="G138" s="79"/>
      <c r="H138" s="108">
        <v>1200</v>
      </c>
      <c r="I138" s="109"/>
      <c r="J138" s="108"/>
      <c r="K138" s="109"/>
      <c r="L138" s="27">
        <f>SUM(J134+J135+H136+H137+H138)</f>
        <v>6300</v>
      </c>
    </row>
    <row r="139" spans="1:16" x14ac:dyDescent="0.3">
      <c r="A139" s="21"/>
      <c r="B139" s="95" t="s">
        <v>109</v>
      </c>
      <c r="C139" s="96"/>
      <c r="D139" s="96"/>
      <c r="E139" s="96"/>
      <c r="F139" s="96"/>
      <c r="G139" s="97"/>
      <c r="H139" s="110"/>
      <c r="I139" s="111"/>
      <c r="J139" s="110">
        <v>-700</v>
      </c>
      <c r="K139" s="111"/>
    </row>
    <row r="140" spans="1:16" x14ac:dyDescent="0.3">
      <c r="A140" s="18" t="s">
        <v>378</v>
      </c>
      <c r="B140" s="92" t="s">
        <v>109</v>
      </c>
      <c r="C140" s="81"/>
      <c r="D140" s="81"/>
      <c r="E140" s="81"/>
      <c r="F140" s="81"/>
      <c r="G140" s="82"/>
      <c r="H140" s="106"/>
      <c r="I140" s="107"/>
      <c r="J140" s="106">
        <v>-400</v>
      </c>
      <c r="K140" s="107"/>
    </row>
    <row r="141" spans="1:16" x14ac:dyDescent="0.3">
      <c r="A141" s="18" t="s">
        <v>380</v>
      </c>
      <c r="B141" s="92" t="s">
        <v>381</v>
      </c>
      <c r="C141" s="81"/>
      <c r="D141" s="81"/>
      <c r="E141" s="81"/>
      <c r="F141" s="81"/>
      <c r="G141" s="82"/>
      <c r="H141" s="106">
        <v>2000</v>
      </c>
      <c r="I141" s="107"/>
      <c r="J141" s="106"/>
      <c r="K141" s="107"/>
      <c r="L141" s="28" t="s">
        <v>241</v>
      </c>
    </row>
    <row r="142" spans="1:16" x14ac:dyDescent="0.3">
      <c r="A142" s="18" t="s">
        <v>379</v>
      </c>
      <c r="B142" s="92" t="s">
        <v>382</v>
      </c>
      <c r="C142" s="81"/>
      <c r="D142" s="81"/>
      <c r="E142" s="81"/>
      <c r="F142" s="81"/>
      <c r="G142" s="82"/>
      <c r="H142" s="106">
        <v>800</v>
      </c>
      <c r="I142" s="107"/>
      <c r="J142" s="106"/>
      <c r="K142" s="107"/>
      <c r="L142" s="27">
        <f>SUM(J139+J140+H141+H142)</f>
        <v>1700</v>
      </c>
    </row>
    <row r="143" spans="1:16" x14ac:dyDescent="0.3">
      <c r="A143" s="18" t="s">
        <v>384</v>
      </c>
      <c r="B143" s="92" t="s">
        <v>385</v>
      </c>
      <c r="C143" s="81"/>
      <c r="D143" s="81"/>
      <c r="E143" s="81"/>
      <c r="F143" s="81"/>
      <c r="G143" s="82"/>
      <c r="H143" s="106"/>
      <c r="I143" s="107"/>
      <c r="J143" s="106">
        <v>-250</v>
      </c>
      <c r="K143" s="107"/>
    </row>
    <row r="144" spans="1:16" x14ac:dyDescent="0.3">
      <c r="A144" s="18" t="s">
        <v>386</v>
      </c>
      <c r="B144" s="92" t="s">
        <v>246</v>
      </c>
      <c r="C144" s="81"/>
      <c r="D144" s="81"/>
      <c r="E144" s="81"/>
      <c r="F144" s="81"/>
      <c r="G144" s="82"/>
      <c r="H144" s="106"/>
      <c r="I144" s="107"/>
      <c r="J144" s="106">
        <v>-2500</v>
      </c>
      <c r="K144" s="107"/>
      <c r="N144" s="1"/>
      <c r="P144" s="1"/>
    </row>
    <row r="145" spans="1:18" x14ac:dyDescent="0.3">
      <c r="A145" s="19" t="s">
        <v>387</v>
      </c>
      <c r="B145" s="125" t="s">
        <v>388</v>
      </c>
      <c r="C145" s="126"/>
      <c r="D145" s="126"/>
      <c r="E145" s="126"/>
      <c r="F145" s="126"/>
      <c r="G145" s="127"/>
      <c r="H145" s="117"/>
      <c r="I145" s="118"/>
      <c r="J145" s="117">
        <v>-5000</v>
      </c>
      <c r="K145" s="118"/>
      <c r="L145" s="30" t="s">
        <v>394</v>
      </c>
      <c r="N145" s="42" t="s">
        <v>392</v>
      </c>
      <c r="P145" s="42" t="s">
        <v>393</v>
      </c>
      <c r="R145" s="22" t="s">
        <v>396</v>
      </c>
    </row>
    <row r="146" spans="1:18" x14ac:dyDescent="0.3">
      <c r="A146" s="21"/>
      <c r="B146" s="95" t="s">
        <v>391</v>
      </c>
      <c r="C146" s="96"/>
      <c r="D146" s="96"/>
      <c r="E146" s="96"/>
      <c r="F146" s="96"/>
      <c r="G146" s="97"/>
      <c r="H146" s="110">
        <v>1950</v>
      </c>
      <c r="I146" s="111"/>
      <c r="J146" s="110"/>
      <c r="K146" s="111"/>
      <c r="L146" s="27">
        <f>SUM(J143+J144+J145+H146)</f>
        <v>-5800</v>
      </c>
      <c r="N146" s="5">
        <f>SUM(H133:K146)</f>
        <v>2400</v>
      </c>
      <c r="P146" s="5">
        <f>SUM(L133+L138+L142+L146)</f>
        <v>1600</v>
      </c>
      <c r="R146" s="23">
        <f>SUM(P119+P132+P146)</f>
        <v>3200</v>
      </c>
    </row>
    <row r="147" spans="1:18" ht="15" thickBot="1" x14ac:dyDescent="0.35">
      <c r="A147" s="43"/>
      <c r="B147" s="131"/>
      <c r="C147" s="131"/>
      <c r="D147" s="131"/>
      <c r="E147" s="131"/>
      <c r="F147" s="131"/>
      <c r="G147" s="131"/>
      <c r="H147" s="173"/>
      <c r="I147" s="173"/>
      <c r="J147" s="173"/>
      <c r="K147" s="173"/>
      <c r="L147" s="41"/>
    </row>
    <row r="148" spans="1:18" x14ac:dyDescent="0.3">
      <c r="A148" s="45" t="s">
        <v>387</v>
      </c>
      <c r="B148" s="85" t="s">
        <v>162</v>
      </c>
      <c r="C148" s="86"/>
      <c r="D148" s="86"/>
      <c r="E148" s="86"/>
      <c r="F148" s="86"/>
      <c r="G148" s="87"/>
      <c r="H148" s="133">
        <f>SUM(H4:I146)</f>
        <v>78450</v>
      </c>
      <c r="I148" s="134"/>
      <c r="J148" s="133"/>
      <c r="K148" s="134"/>
    </row>
    <row r="149" spans="1:18" x14ac:dyDescent="0.3">
      <c r="A149" s="18"/>
      <c r="B149" s="92" t="s">
        <v>163</v>
      </c>
      <c r="C149" s="81"/>
      <c r="D149" s="81"/>
      <c r="E149" s="81"/>
      <c r="F149" s="81"/>
      <c r="G149" s="82"/>
      <c r="H149" s="106"/>
      <c r="I149" s="107"/>
      <c r="J149" s="106">
        <f>SUM(J4:K146)</f>
        <v>-74350</v>
      </c>
      <c r="K149" s="107"/>
      <c r="N149" s="1" t="s">
        <v>398</v>
      </c>
      <c r="P149" s="1" t="s">
        <v>397</v>
      </c>
    </row>
    <row r="150" spans="1:18" ht="15" thickBot="1" x14ac:dyDescent="0.35">
      <c r="A150" s="20"/>
      <c r="B150" s="77"/>
      <c r="C150" s="78"/>
      <c r="D150" s="78"/>
      <c r="E150" s="78"/>
      <c r="F150" s="78"/>
      <c r="G150" s="79"/>
      <c r="H150" s="108"/>
      <c r="I150" s="109"/>
      <c r="J150" s="108"/>
      <c r="K150" s="109"/>
      <c r="N150" s="44">
        <f>SUM(N14:N146)</f>
        <v>4400</v>
      </c>
      <c r="P150" s="44">
        <f>SUM(P14+P27+P43+P55+P63+P73+P82+P96+P108+P119+P132+P146)</f>
        <v>5300</v>
      </c>
    </row>
    <row r="151" spans="1:18" ht="15.6" thickTop="1" thickBot="1" x14ac:dyDescent="0.35">
      <c r="A151" s="39" t="s">
        <v>387</v>
      </c>
      <c r="B151" s="104" t="s">
        <v>165</v>
      </c>
      <c r="C151" s="75"/>
      <c r="D151" s="75"/>
      <c r="E151" s="75"/>
      <c r="F151" s="75"/>
      <c r="G151" s="105"/>
      <c r="H151" s="174">
        <f>SUM(H148+J149)</f>
        <v>4100</v>
      </c>
      <c r="I151" s="175"/>
      <c r="J151" s="113"/>
      <c r="K151" s="114"/>
    </row>
  </sheetData>
  <mergeCells count="448">
    <mergeCell ref="B149:G149"/>
    <mergeCell ref="B150:G150"/>
    <mergeCell ref="B151:G151"/>
    <mergeCell ref="H151:I151"/>
    <mergeCell ref="J151:K151"/>
    <mergeCell ref="B143:G143"/>
    <mergeCell ref="B144:G144"/>
    <mergeCell ref="B142:G142"/>
    <mergeCell ref="B137:G137"/>
    <mergeCell ref="B138:G138"/>
    <mergeCell ref="B139:G139"/>
    <mergeCell ref="B140:G140"/>
    <mergeCell ref="B141:G141"/>
    <mergeCell ref="B145:G145"/>
    <mergeCell ref="B146:G146"/>
    <mergeCell ref="B147:G147"/>
    <mergeCell ref="B148:G148"/>
    <mergeCell ref="H145:I145"/>
    <mergeCell ref="H144:I144"/>
    <mergeCell ref="H143:I143"/>
    <mergeCell ref="H142:I142"/>
    <mergeCell ref="H141:I141"/>
    <mergeCell ref="H140:I140"/>
    <mergeCell ref="H139:I139"/>
    <mergeCell ref="H138:I138"/>
    <mergeCell ref="H137:I137"/>
    <mergeCell ref="J146:K146"/>
    <mergeCell ref="J147:K147"/>
    <mergeCell ref="J148:K148"/>
    <mergeCell ref="J149:K149"/>
    <mergeCell ref="J150:K150"/>
    <mergeCell ref="H150:I150"/>
    <mergeCell ref="H149:I149"/>
    <mergeCell ref="H148:I148"/>
    <mergeCell ref="H147:I147"/>
    <mergeCell ref="H146:I14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76:K76"/>
    <mergeCell ref="J77:K77"/>
    <mergeCell ref="J78:K78"/>
    <mergeCell ref="J79:K79"/>
    <mergeCell ref="J80:K80"/>
    <mergeCell ref="J81:K81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57:K57"/>
    <mergeCell ref="J59:K59"/>
    <mergeCell ref="J60:K60"/>
    <mergeCell ref="J61:K61"/>
    <mergeCell ref="J62:K62"/>
    <mergeCell ref="J63:K63"/>
    <mergeCell ref="J64:K64"/>
    <mergeCell ref="J65:K65"/>
    <mergeCell ref="J66:K66"/>
    <mergeCell ref="J58:K58"/>
    <mergeCell ref="H56:I56"/>
    <mergeCell ref="H55:I55"/>
    <mergeCell ref="H54:I54"/>
    <mergeCell ref="H53:I53"/>
    <mergeCell ref="H52:I52"/>
    <mergeCell ref="H51:I51"/>
    <mergeCell ref="J51:K51"/>
    <mergeCell ref="J52:K52"/>
    <mergeCell ref="J53:K53"/>
    <mergeCell ref="J54:K54"/>
    <mergeCell ref="J55:K55"/>
    <mergeCell ref="J56:K56"/>
    <mergeCell ref="H66:I66"/>
    <mergeCell ref="H65:I65"/>
    <mergeCell ref="H64:I64"/>
    <mergeCell ref="H63:I63"/>
    <mergeCell ref="H62:I62"/>
    <mergeCell ref="H61:I61"/>
    <mergeCell ref="H60:I60"/>
    <mergeCell ref="H59:I59"/>
    <mergeCell ref="H57:I57"/>
    <mergeCell ref="H58:I58"/>
    <mergeCell ref="H75:I75"/>
    <mergeCell ref="H74:I74"/>
    <mergeCell ref="H73:I73"/>
    <mergeCell ref="H72:I72"/>
    <mergeCell ref="H71:I71"/>
    <mergeCell ref="H70:I70"/>
    <mergeCell ref="H69:I69"/>
    <mergeCell ref="H68:I68"/>
    <mergeCell ref="H67:I67"/>
    <mergeCell ref="B79:G79"/>
    <mergeCell ref="B80:G80"/>
    <mergeCell ref="B81:G81"/>
    <mergeCell ref="H81:I81"/>
    <mergeCell ref="H80:I80"/>
    <mergeCell ref="H79:I79"/>
    <mergeCell ref="H78:I78"/>
    <mergeCell ref="H77:I77"/>
    <mergeCell ref="H76:I76"/>
    <mergeCell ref="B70:G70"/>
    <mergeCell ref="B71:G71"/>
    <mergeCell ref="B72:G72"/>
    <mergeCell ref="B73:G73"/>
    <mergeCell ref="B74:G74"/>
    <mergeCell ref="B75:G75"/>
    <mergeCell ref="B76:G76"/>
    <mergeCell ref="B77:G77"/>
    <mergeCell ref="B78:G78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51:G51"/>
    <mergeCell ref="B52:G52"/>
    <mergeCell ref="B53:G53"/>
    <mergeCell ref="B54:G54"/>
    <mergeCell ref="B55:G55"/>
    <mergeCell ref="B56:G56"/>
    <mergeCell ref="B57:G57"/>
    <mergeCell ref="B59:G59"/>
    <mergeCell ref="B60:G60"/>
    <mergeCell ref="B58:G58"/>
    <mergeCell ref="H50:I50"/>
    <mergeCell ref="J50:K50"/>
    <mergeCell ref="J47:K47"/>
    <mergeCell ref="H47:I47"/>
    <mergeCell ref="H48:I48"/>
    <mergeCell ref="J48:K48"/>
    <mergeCell ref="J49:K49"/>
    <mergeCell ref="H49:I49"/>
    <mergeCell ref="H44:I44"/>
    <mergeCell ref="J44:K44"/>
    <mergeCell ref="J45:K45"/>
    <mergeCell ref="H45:I45"/>
    <mergeCell ref="H46:I46"/>
    <mergeCell ref="J46:K46"/>
    <mergeCell ref="J41:K41"/>
    <mergeCell ref="H41:I41"/>
    <mergeCell ref="H42:I42"/>
    <mergeCell ref="J42:K42"/>
    <mergeCell ref="J43:K43"/>
    <mergeCell ref="H43:I43"/>
    <mergeCell ref="H38:I38"/>
    <mergeCell ref="J38:K38"/>
    <mergeCell ref="J39:K39"/>
    <mergeCell ref="H39:I39"/>
    <mergeCell ref="H40:I40"/>
    <mergeCell ref="J40:K40"/>
    <mergeCell ref="J35:K35"/>
    <mergeCell ref="H35:I35"/>
    <mergeCell ref="H36:I36"/>
    <mergeCell ref="J36:K36"/>
    <mergeCell ref="J37:K37"/>
    <mergeCell ref="H37:I37"/>
    <mergeCell ref="H32:I32"/>
    <mergeCell ref="H33:I33"/>
    <mergeCell ref="H34:I34"/>
    <mergeCell ref="J34:K34"/>
    <mergeCell ref="J33:K33"/>
    <mergeCell ref="B48:G48"/>
    <mergeCell ref="B49:G49"/>
    <mergeCell ref="B50:G50"/>
    <mergeCell ref="H26:I26"/>
    <mergeCell ref="J26:K26"/>
    <mergeCell ref="J27:K27"/>
    <mergeCell ref="H27:I27"/>
    <mergeCell ref="H28:I28"/>
    <mergeCell ref="J29:K29"/>
    <mergeCell ref="H29:I29"/>
    <mergeCell ref="H30:I30"/>
    <mergeCell ref="J28:K28"/>
    <mergeCell ref="J30:K30"/>
    <mergeCell ref="H31:I31"/>
    <mergeCell ref="J31:K31"/>
    <mergeCell ref="J32:K32"/>
    <mergeCell ref="B43:G43"/>
    <mergeCell ref="B44:G44"/>
    <mergeCell ref="B45:G45"/>
    <mergeCell ref="B46:G46"/>
    <mergeCell ref="B47:G47"/>
    <mergeCell ref="B37:G37"/>
    <mergeCell ref="B38:G38"/>
    <mergeCell ref="B39:G39"/>
    <mergeCell ref="B40:G40"/>
    <mergeCell ref="B42:G42"/>
    <mergeCell ref="B41:G41"/>
    <mergeCell ref="B31:G31"/>
    <mergeCell ref="B33:G33"/>
    <mergeCell ref="B32:G32"/>
    <mergeCell ref="B34:G34"/>
    <mergeCell ref="B36:G36"/>
    <mergeCell ref="B35:G35"/>
    <mergeCell ref="B26:G26"/>
    <mergeCell ref="B27:G27"/>
    <mergeCell ref="B28:G28"/>
    <mergeCell ref="B29:G29"/>
    <mergeCell ref="B30:G30"/>
    <mergeCell ref="A1:K2"/>
    <mergeCell ref="B3:G3"/>
    <mergeCell ref="H3:I3"/>
    <mergeCell ref="J3:K3"/>
    <mergeCell ref="H4:I4"/>
    <mergeCell ref="B4:G4"/>
    <mergeCell ref="H5:I5"/>
    <mergeCell ref="H6:I6"/>
    <mergeCell ref="H7:I7"/>
    <mergeCell ref="H8:I8"/>
    <mergeCell ref="B9:G9"/>
    <mergeCell ref="H9:I9"/>
    <mergeCell ref="B5:G5"/>
    <mergeCell ref="B6:G6"/>
    <mergeCell ref="B7:G7"/>
    <mergeCell ref="B8:G8"/>
    <mergeCell ref="H10:I10"/>
    <mergeCell ref="H11:I11"/>
    <mergeCell ref="H12:I12"/>
    <mergeCell ref="B10:G10"/>
    <mergeCell ref="B11:G11"/>
    <mergeCell ref="B12:G12"/>
    <mergeCell ref="B13:G13"/>
    <mergeCell ref="B14:G14"/>
    <mergeCell ref="J16:K16"/>
    <mergeCell ref="B22:G22"/>
    <mergeCell ref="B23:G23"/>
    <mergeCell ref="B24:G24"/>
    <mergeCell ref="H13:I13"/>
    <mergeCell ref="H14:I14"/>
    <mergeCell ref="B15:G15"/>
    <mergeCell ref="H22:I22"/>
    <mergeCell ref="H23:I23"/>
    <mergeCell ref="H24:I24"/>
    <mergeCell ref="H20:I20"/>
    <mergeCell ref="H21:I21"/>
    <mergeCell ref="H16:I16"/>
    <mergeCell ref="H17:I17"/>
    <mergeCell ref="H18:I18"/>
    <mergeCell ref="H19:I19"/>
    <mergeCell ref="H15:I15"/>
    <mergeCell ref="J25:K25"/>
    <mergeCell ref="J24:K24"/>
    <mergeCell ref="J23:K23"/>
    <mergeCell ref="J22:K22"/>
    <mergeCell ref="B16:G16"/>
    <mergeCell ref="B17:G17"/>
    <mergeCell ref="B18:G18"/>
    <mergeCell ref="B19:G19"/>
    <mergeCell ref="B20:G20"/>
    <mergeCell ref="B21:G21"/>
    <mergeCell ref="J21:K21"/>
    <mergeCell ref="J20:K20"/>
    <mergeCell ref="J19:K19"/>
    <mergeCell ref="J18:K18"/>
    <mergeCell ref="J17:K17"/>
    <mergeCell ref="H25:I25"/>
    <mergeCell ref="B25:G25"/>
    <mergeCell ref="J4:K4"/>
    <mergeCell ref="J15:K15"/>
    <mergeCell ref="J14:K14"/>
    <mergeCell ref="J13:K13"/>
    <mergeCell ref="J12:K12"/>
    <mergeCell ref="J11:K11"/>
    <mergeCell ref="J10:K10"/>
    <mergeCell ref="J9:K9"/>
    <mergeCell ref="J8:K8"/>
    <mergeCell ref="J7:K7"/>
    <mergeCell ref="J6:K6"/>
    <mergeCell ref="J5:K5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B93:G93"/>
    <mergeCell ref="B94:G94"/>
    <mergeCell ref="B95:G95"/>
    <mergeCell ref="B96:G96"/>
    <mergeCell ref="B97:G97"/>
    <mergeCell ref="B98:G98"/>
    <mergeCell ref="B99:G99"/>
    <mergeCell ref="B100:G100"/>
    <mergeCell ref="B101:G101"/>
    <mergeCell ref="B102:G102"/>
    <mergeCell ref="B103:G103"/>
    <mergeCell ref="B104:G104"/>
    <mergeCell ref="B105:G105"/>
    <mergeCell ref="B106:G106"/>
    <mergeCell ref="B107:G107"/>
    <mergeCell ref="B108:G108"/>
    <mergeCell ref="B109:G109"/>
    <mergeCell ref="B110:G110"/>
    <mergeCell ref="B111:G11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9:K109"/>
    <mergeCell ref="J110:K110"/>
    <mergeCell ref="J111:K111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B112:G112"/>
    <mergeCell ref="B113:G113"/>
    <mergeCell ref="B114:G114"/>
    <mergeCell ref="B115:G115"/>
    <mergeCell ref="B116:G116"/>
    <mergeCell ref="B117:G117"/>
    <mergeCell ref="B118:G118"/>
    <mergeCell ref="B119:G119"/>
    <mergeCell ref="B120:G120"/>
    <mergeCell ref="B121:G121"/>
    <mergeCell ref="B122:G122"/>
    <mergeCell ref="B123:G123"/>
    <mergeCell ref="B124:G124"/>
    <mergeCell ref="B125:G125"/>
    <mergeCell ref="B126:G126"/>
    <mergeCell ref="B127:G127"/>
    <mergeCell ref="B128:G128"/>
    <mergeCell ref="B129:G129"/>
    <mergeCell ref="B130:G130"/>
    <mergeCell ref="B131:G131"/>
    <mergeCell ref="B133:G133"/>
    <mergeCell ref="B132:G132"/>
    <mergeCell ref="B134:G134"/>
    <mergeCell ref="B135:G135"/>
    <mergeCell ref="B136:G136"/>
    <mergeCell ref="H112:I112"/>
    <mergeCell ref="H114:I114"/>
    <mergeCell ref="H115:I115"/>
    <mergeCell ref="H113:I113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J136:K136"/>
    <mergeCell ref="J135:K135"/>
    <mergeCell ref="J134:K134"/>
    <mergeCell ref="J133:K133"/>
    <mergeCell ref="J132:K132"/>
    <mergeCell ref="J131:K131"/>
    <mergeCell ref="J130:K130"/>
    <mergeCell ref="J129:K129"/>
    <mergeCell ref="J119:K119"/>
    <mergeCell ref="J118:K118"/>
    <mergeCell ref="J117:K117"/>
    <mergeCell ref="J116:K116"/>
    <mergeCell ref="J115:K115"/>
    <mergeCell ref="J114:K114"/>
    <mergeCell ref="J113:K113"/>
    <mergeCell ref="J112:K112"/>
    <mergeCell ref="J128:K128"/>
    <mergeCell ref="J127:K127"/>
    <mergeCell ref="J126:K126"/>
    <mergeCell ref="J125:K125"/>
    <mergeCell ref="J124:K124"/>
    <mergeCell ref="J123:K123"/>
    <mergeCell ref="J122:K122"/>
    <mergeCell ref="J121:K121"/>
    <mergeCell ref="J120:K120"/>
  </mergeCells>
  <conditionalFormatting sqref="H4:K14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4:P1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3">
    <cfRule type="cellIs" dxfId="1" priority="4" operator="greaterThan">
      <formula>"Rs. 400.00"</formula>
    </cfRule>
    <cfRule type="cellIs" dxfId="0" priority="5" operator="greaterThan">
      <formula>400</formula>
    </cfRule>
  </conditionalFormatting>
  <conditionalFormatting sqref="R43:R14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{F0EC5391-BB06-4135-9C72-CC11CCDCF686}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EC5391-BB06-4135-9C72-CC11CCDCF6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R43:R146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6BBD-C925-4368-97B4-DD46C6CDBD8C}">
  <dimension ref="A1:R154"/>
  <sheetViews>
    <sheetView zoomScaleNormal="100" workbookViewId="0">
      <selection activeCell="J8" sqref="J8:K8"/>
    </sheetView>
  </sheetViews>
  <sheetFormatPr defaultRowHeight="14.4" x14ac:dyDescent="0.3"/>
  <cols>
    <col min="1" max="1" width="10.33203125" bestFit="1" customWidth="1"/>
    <col min="12" max="12" width="17.88671875" customWidth="1"/>
    <col min="14" max="14" width="17.88671875" customWidth="1"/>
    <col min="16" max="16" width="17.88671875" customWidth="1"/>
    <col min="18" max="18" width="17.88671875" customWidth="1"/>
  </cols>
  <sheetData>
    <row r="1" spans="1:16" x14ac:dyDescent="0.3">
      <c r="A1" s="120" t="s">
        <v>399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6" x14ac:dyDescent="0.3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</row>
    <row r="3" spans="1:16" ht="22.8" customHeight="1" x14ac:dyDescent="0.3">
      <c r="A3" s="46" t="s">
        <v>0</v>
      </c>
      <c r="B3" s="121" t="s">
        <v>1</v>
      </c>
      <c r="C3" s="122"/>
      <c r="D3" s="122"/>
      <c r="E3" s="122"/>
      <c r="F3" s="122"/>
      <c r="G3" s="123"/>
      <c r="H3" s="121" t="s">
        <v>400</v>
      </c>
      <c r="I3" s="123"/>
      <c r="J3" s="121" t="s">
        <v>401</v>
      </c>
      <c r="K3" s="124"/>
    </row>
    <row r="4" spans="1:16" x14ac:dyDescent="0.3">
      <c r="A4" s="7" t="s">
        <v>402</v>
      </c>
      <c r="B4" s="92" t="s">
        <v>109</v>
      </c>
      <c r="C4" s="81"/>
      <c r="D4" s="81"/>
      <c r="E4" s="81"/>
      <c r="F4" s="81"/>
      <c r="G4" s="82"/>
      <c r="H4" s="106"/>
      <c r="I4" s="107"/>
      <c r="J4" s="106">
        <v>-500</v>
      </c>
      <c r="K4" s="107"/>
    </row>
    <row r="5" spans="1:16" x14ac:dyDescent="0.3">
      <c r="A5" s="7" t="s">
        <v>403</v>
      </c>
      <c r="B5" s="92" t="s">
        <v>404</v>
      </c>
      <c r="C5" s="81"/>
      <c r="D5" s="81"/>
      <c r="E5" s="81"/>
      <c r="F5" s="81"/>
      <c r="G5" s="82"/>
      <c r="H5" s="106">
        <v>500</v>
      </c>
      <c r="I5" s="107"/>
      <c r="J5" s="106"/>
      <c r="K5" s="107"/>
      <c r="L5" s="28" t="s">
        <v>179</v>
      </c>
    </row>
    <row r="6" spans="1:16" x14ac:dyDescent="0.3">
      <c r="A6" s="4" t="s">
        <v>405</v>
      </c>
      <c r="B6" s="77" t="s">
        <v>406</v>
      </c>
      <c r="C6" s="78"/>
      <c r="D6" s="78"/>
      <c r="E6" s="78"/>
      <c r="F6" s="78"/>
      <c r="G6" s="79"/>
      <c r="H6" s="108">
        <v>1100</v>
      </c>
      <c r="I6" s="109"/>
      <c r="J6" s="108"/>
      <c r="K6" s="109"/>
      <c r="L6" s="27">
        <f>SUM(H4:K6)</f>
        <v>1100</v>
      </c>
    </row>
    <row r="7" spans="1:16" x14ac:dyDescent="0.3">
      <c r="A7" s="6"/>
      <c r="B7" s="95" t="s">
        <v>109</v>
      </c>
      <c r="C7" s="96"/>
      <c r="D7" s="96"/>
      <c r="E7" s="96"/>
      <c r="F7" s="96"/>
      <c r="G7" s="97"/>
      <c r="H7" s="110"/>
      <c r="I7" s="111"/>
      <c r="J7" s="110">
        <v>-600</v>
      </c>
      <c r="K7" s="111"/>
    </row>
    <row r="8" spans="1:16" x14ac:dyDescent="0.3">
      <c r="A8" s="7" t="s">
        <v>407</v>
      </c>
      <c r="B8" s="92" t="s">
        <v>408</v>
      </c>
      <c r="C8" s="81"/>
      <c r="D8" s="81"/>
      <c r="E8" s="81"/>
      <c r="F8" s="81"/>
      <c r="G8" s="82"/>
      <c r="H8" s="106">
        <v>400</v>
      </c>
      <c r="I8" s="107"/>
      <c r="J8" s="106"/>
      <c r="K8" s="107"/>
      <c r="L8" s="28" t="s">
        <v>179</v>
      </c>
    </row>
    <row r="9" spans="1:16" x14ac:dyDescent="0.3">
      <c r="A9" s="4" t="s">
        <v>409</v>
      </c>
      <c r="B9" s="77" t="s">
        <v>410</v>
      </c>
      <c r="C9" s="78"/>
      <c r="D9" s="78"/>
      <c r="E9" s="78"/>
      <c r="F9" s="78"/>
      <c r="G9" s="79"/>
      <c r="H9" s="108">
        <v>800</v>
      </c>
      <c r="I9" s="109"/>
      <c r="J9" s="108"/>
      <c r="K9" s="109"/>
      <c r="L9" s="27">
        <f>SUM(H7:K9)</f>
        <v>600</v>
      </c>
    </row>
    <row r="10" spans="1:16" x14ac:dyDescent="0.3">
      <c r="A10" s="6"/>
      <c r="B10" s="95" t="s">
        <v>109</v>
      </c>
      <c r="C10" s="96"/>
      <c r="D10" s="96"/>
      <c r="E10" s="96"/>
      <c r="F10" s="96"/>
      <c r="G10" s="97"/>
      <c r="H10" s="110"/>
      <c r="I10" s="111"/>
      <c r="J10" s="110">
        <v>-600</v>
      </c>
      <c r="K10" s="111"/>
    </row>
    <row r="11" spans="1:16" x14ac:dyDescent="0.3">
      <c r="A11" s="7" t="s">
        <v>411</v>
      </c>
      <c r="B11" s="92" t="s">
        <v>277</v>
      </c>
      <c r="C11" s="81"/>
      <c r="D11" s="81"/>
      <c r="E11" s="81"/>
      <c r="F11" s="81"/>
      <c r="G11" s="82"/>
      <c r="H11" s="106">
        <v>5000</v>
      </c>
      <c r="I11" s="107"/>
      <c r="J11" s="106"/>
      <c r="K11" s="107"/>
      <c r="L11" s="28" t="s">
        <v>179</v>
      </c>
    </row>
    <row r="12" spans="1:16" x14ac:dyDescent="0.3">
      <c r="A12" s="4" t="s">
        <v>412</v>
      </c>
      <c r="B12" s="77" t="s">
        <v>413</v>
      </c>
      <c r="C12" s="78"/>
      <c r="D12" s="78"/>
      <c r="E12" s="78"/>
      <c r="F12" s="78"/>
      <c r="G12" s="79"/>
      <c r="H12" s="108">
        <v>1100</v>
      </c>
      <c r="I12" s="109"/>
      <c r="J12" s="108"/>
      <c r="K12" s="109"/>
      <c r="L12" s="27">
        <f>SUM(H10:K12)</f>
        <v>5500</v>
      </c>
    </row>
    <row r="13" spans="1:16" x14ac:dyDescent="0.3">
      <c r="A13" s="6"/>
      <c r="B13" s="95" t="s">
        <v>109</v>
      </c>
      <c r="C13" s="96"/>
      <c r="D13" s="96"/>
      <c r="E13" s="96"/>
      <c r="F13" s="96"/>
      <c r="G13" s="97"/>
      <c r="H13" s="110"/>
      <c r="I13" s="111"/>
      <c r="J13" s="110">
        <v>-600</v>
      </c>
      <c r="K13" s="111"/>
    </row>
    <row r="14" spans="1:16" x14ac:dyDescent="0.3">
      <c r="A14" s="4" t="s">
        <v>414</v>
      </c>
      <c r="B14" s="125" t="s">
        <v>417</v>
      </c>
      <c r="C14" s="126"/>
      <c r="D14" s="126"/>
      <c r="E14" s="126"/>
      <c r="F14" s="126"/>
      <c r="G14" s="127"/>
      <c r="H14" s="117">
        <v>2400</v>
      </c>
      <c r="I14" s="118"/>
      <c r="J14" s="117"/>
      <c r="K14" s="118"/>
    </row>
    <row r="15" spans="1:16" x14ac:dyDescent="0.3">
      <c r="A15" s="4"/>
      <c r="B15" s="77" t="s">
        <v>415</v>
      </c>
      <c r="C15" s="78"/>
      <c r="D15" s="78"/>
      <c r="E15" s="78"/>
      <c r="F15" s="78"/>
      <c r="G15" s="79"/>
      <c r="H15" s="108">
        <v>200</v>
      </c>
      <c r="I15" s="109"/>
      <c r="J15" s="108"/>
      <c r="K15" s="109"/>
      <c r="L15" s="28" t="s">
        <v>179</v>
      </c>
      <c r="N15" s="1" t="s">
        <v>229</v>
      </c>
      <c r="P15" s="1" t="s">
        <v>230</v>
      </c>
    </row>
    <row r="16" spans="1:16" x14ac:dyDescent="0.3">
      <c r="A16" s="6"/>
      <c r="B16" s="95" t="s">
        <v>416</v>
      </c>
      <c r="C16" s="96"/>
      <c r="D16" s="96"/>
      <c r="E16" s="96"/>
      <c r="F16" s="96"/>
      <c r="G16" s="97"/>
      <c r="H16" s="110">
        <v>2300</v>
      </c>
      <c r="I16" s="111"/>
      <c r="J16" s="110"/>
      <c r="K16" s="111"/>
      <c r="L16" s="27">
        <f>SUM(H13:K16)</f>
        <v>4300</v>
      </c>
      <c r="N16" s="5">
        <f>SUM(H4:K16)</f>
        <v>11500</v>
      </c>
      <c r="P16" s="5">
        <f>SUM(L6:L16)</f>
        <v>11500</v>
      </c>
    </row>
    <row r="17" spans="1:16" x14ac:dyDescent="0.3">
      <c r="A17" s="7" t="s">
        <v>418</v>
      </c>
      <c r="B17" s="92" t="s">
        <v>109</v>
      </c>
      <c r="C17" s="81"/>
      <c r="D17" s="81"/>
      <c r="E17" s="81"/>
      <c r="F17" s="81"/>
      <c r="G17" s="82"/>
      <c r="H17" s="106"/>
      <c r="I17" s="107"/>
      <c r="J17" s="106">
        <v>-800</v>
      </c>
      <c r="K17" s="107"/>
    </row>
    <row r="18" spans="1:16" x14ac:dyDescent="0.3">
      <c r="A18" s="7" t="s">
        <v>419</v>
      </c>
      <c r="B18" s="81" t="s">
        <v>420</v>
      </c>
      <c r="C18" s="81"/>
      <c r="D18" s="81"/>
      <c r="E18" s="81"/>
      <c r="F18" s="81"/>
      <c r="G18" s="82"/>
      <c r="H18" s="106"/>
      <c r="I18" s="107"/>
      <c r="J18" s="106">
        <v>-3500</v>
      </c>
      <c r="K18" s="107"/>
      <c r="L18" s="30" t="s">
        <v>309</v>
      </c>
    </row>
    <row r="19" spans="1:16" x14ac:dyDescent="0.3">
      <c r="A19" s="4" t="s">
        <v>421</v>
      </c>
      <c r="B19" s="77" t="s">
        <v>422</v>
      </c>
      <c r="C19" s="78"/>
      <c r="D19" s="78"/>
      <c r="E19" s="78"/>
      <c r="F19" s="78"/>
      <c r="G19" s="79"/>
      <c r="H19" s="108">
        <v>2100</v>
      </c>
      <c r="I19" s="109"/>
      <c r="J19" s="108"/>
      <c r="K19" s="109"/>
      <c r="L19" s="27">
        <f>SUM(J17+J18+H19)</f>
        <v>-2200</v>
      </c>
    </row>
    <row r="20" spans="1:16" x14ac:dyDescent="0.3">
      <c r="A20" s="6"/>
      <c r="B20" s="95" t="s">
        <v>109</v>
      </c>
      <c r="C20" s="96"/>
      <c r="D20" s="96"/>
      <c r="E20" s="96"/>
      <c r="F20" s="96"/>
      <c r="G20" s="97"/>
      <c r="H20" s="110"/>
      <c r="I20" s="111"/>
      <c r="J20" s="110">
        <v>-600</v>
      </c>
      <c r="K20" s="111"/>
      <c r="L20" s="28" t="s">
        <v>179</v>
      </c>
    </row>
    <row r="21" spans="1:16" x14ac:dyDescent="0.3">
      <c r="A21" s="4" t="s">
        <v>423</v>
      </c>
      <c r="B21" s="77" t="s">
        <v>424</v>
      </c>
      <c r="C21" s="78"/>
      <c r="D21" s="78"/>
      <c r="E21" s="78"/>
      <c r="F21" s="78"/>
      <c r="G21" s="79"/>
      <c r="H21" s="108">
        <v>800</v>
      </c>
      <c r="I21" s="109"/>
      <c r="J21" s="108"/>
      <c r="K21" s="109"/>
      <c r="L21" s="27">
        <f>SUM(J20+H21)</f>
        <v>200</v>
      </c>
    </row>
    <row r="22" spans="1:16" x14ac:dyDescent="0.3">
      <c r="A22" s="4"/>
      <c r="B22" s="77" t="s">
        <v>109</v>
      </c>
      <c r="C22" s="78"/>
      <c r="D22" s="78"/>
      <c r="E22" s="78"/>
      <c r="F22" s="78"/>
      <c r="G22" s="79"/>
      <c r="H22" s="108"/>
      <c r="I22" s="109"/>
      <c r="J22" s="108">
        <v>-700</v>
      </c>
      <c r="K22" s="109"/>
    </row>
    <row r="23" spans="1:16" x14ac:dyDescent="0.3">
      <c r="A23" s="3" t="s">
        <v>425</v>
      </c>
      <c r="B23" s="125" t="s">
        <v>426</v>
      </c>
      <c r="C23" s="126"/>
      <c r="D23" s="126"/>
      <c r="E23" s="126"/>
      <c r="F23" s="126"/>
      <c r="G23" s="127"/>
      <c r="H23" s="117">
        <v>1000</v>
      </c>
      <c r="I23" s="118"/>
      <c r="J23" s="119"/>
      <c r="K23" s="118"/>
      <c r="L23" s="47" t="s">
        <v>179</v>
      </c>
    </row>
    <row r="24" spans="1:16" x14ac:dyDescent="0.3">
      <c r="A24" s="6"/>
      <c r="B24" s="95" t="s">
        <v>122</v>
      </c>
      <c r="C24" s="96"/>
      <c r="D24" s="96"/>
      <c r="E24" s="96"/>
      <c r="F24" s="96"/>
      <c r="G24" s="97"/>
      <c r="H24" s="110">
        <v>800</v>
      </c>
      <c r="I24" s="111"/>
      <c r="J24" s="110"/>
      <c r="K24" s="111"/>
      <c r="L24" s="27">
        <f>SUM(J22+H23+H24)</f>
        <v>1100</v>
      </c>
    </row>
    <row r="25" spans="1:16" x14ac:dyDescent="0.3">
      <c r="A25" s="7" t="s">
        <v>427</v>
      </c>
      <c r="B25" s="92" t="s">
        <v>428</v>
      </c>
      <c r="C25" s="81"/>
      <c r="D25" s="81"/>
      <c r="E25" s="81"/>
      <c r="F25" s="81"/>
      <c r="G25" s="82"/>
      <c r="H25" s="106"/>
      <c r="I25" s="107"/>
      <c r="J25" s="106">
        <v>-500</v>
      </c>
      <c r="K25" s="107"/>
    </row>
    <row r="26" spans="1:16" x14ac:dyDescent="0.3">
      <c r="A26" s="7" t="s">
        <v>429</v>
      </c>
      <c r="B26" s="92" t="s">
        <v>430</v>
      </c>
      <c r="C26" s="81"/>
      <c r="D26" s="81"/>
      <c r="E26" s="81"/>
      <c r="F26" s="81"/>
      <c r="G26" s="82"/>
      <c r="H26" s="106"/>
      <c r="I26" s="107"/>
      <c r="J26" s="106">
        <v>-2000</v>
      </c>
      <c r="K26" s="107"/>
      <c r="N26" s="1" t="s">
        <v>228</v>
      </c>
      <c r="P26" s="1" t="s">
        <v>227</v>
      </c>
    </row>
    <row r="27" spans="1:16" x14ac:dyDescent="0.3">
      <c r="A27" s="7" t="s">
        <v>431</v>
      </c>
      <c r="B27" s="92" t="s">
        <v>432</v>
      </c>
      <c r="C27" s="81"/>
      <c r="D27" s="81"/>
      <c r="E27" s="81"/>
      <c r="F27" s="81"/>
      <c r="G27" s="82"/>
      <c r="H27" s="115"/>
      <c r="I27" s="116"/>
      <c r="J27" s="106"/>
      <c r="K27" s="107"/>
      <c r="N27" s="5">
        <f>SUM(H17:K27)</f>
        <v>-3400</v>
      </c>
      <c r="P27" s="5">
        <f>SUM(L19:L24)</f>
        <v>-900</v>
      </c>
    </row>
    <row r="28" spans="1:16" x14ac:dyDescent="0.3">
      <c r="A28" s="7" t="s">
        <v>433</v>
      </c>
      <c r="B28" s="92" t="s">
        <v>204</v>
      </c>
      <c r="C28" s="81"/>
      <c r="D28" s="81"/>
      <c r="E28" s="81"/>
      <c r="F28" s="81"/>
      <c r="G28" s="82"/>
      <c r="H28" s="106"/>
      <c r="I28" s="107"/>
      <c r="J28" s="106">
        <v>-10000</v>
      </c>
      <c r="K28" s="107"/>
      <c r="L28" s="48" t="s">
        <v>309</v>
      </c>
    </row>
    <row r="29" spans="1:16" x14ac:dyDescent="0.3">
      <c r="A29" s="4" t="s">
        <v>434</v>
      </c>
      <c r="B29" s="77" t="s">
        <v>437</v>
      </c>
      <c r="C29" s="78"/>
      <c r="D29" s="78"/>
      <c r="E29" s="78"/>
      <c r="F29" s="78"/>
      <c r="G29" s="79"/>
      <c r="H29" s="108">
        <v>6800</v>
      </c>
      <c r="I29" s="109"/>
      <c r="J29" s="108"/>
      <c r="K29" s="109"/>
      <c r="L29" s="27">
        <f>SUM(J25+J26+H27+J28+H29)</f>
        <v>-5700</v>
      </c>
    </row>
    <row r="30" spans="1:16" x14ac:dyDescent="0.3">
      <c r="A30" s="6"/>
      <c r="B30" s="95" t="s">
        <v>109</v>
      </c>
      <c r="C30" s="96"/>
      <c r="D30" s="96"/>
      <c r="E30" s="96"/>
      <c r="F30" s="96"/>
      <c r="G30" s="97"/>
      <c r="H30" s="110"/>
      <c r="I30" s="111"/>
      <c r="J30" s="110">
        <v>-600</v>
      </c>
      <c r="K30" s="111"/>
      <c r="L30" s="28" t="s">
        <v>179</v>
      </c>
    </row>
    <row r="31" spans="1:16" x14ac:dyDescent="0.3">
      <c r="A31" s="4" t="s">
        <v>435</v>
      </c>
      <c r="B31" s="77" t="s">
        <v>436</v>
      </c>
      <c r="C31" s="78"/>
      <c r="D31" s="78"/>
      <c r="E31" s="78"/>
      <c r="F31" s="78"/>
      <c r="G31" s="79"/>
      <c r="H31" s="108">
        <v>1200</v>
      </c>
      <c r="I31" s="109"/>
      <c r="J31" s="108"/>
      <c r="K31" s="109"/>
      <c r="L31" s="27">
        <f>SUM(J30+H31)</f>
        <v>600</v>
      </c>
    </row>
    <row r="32" spans="1:16" x14ac:dyDescent="0.3">
      <c r="A32" s="6"/>
      <c r="B32" s="95" t="s">
        <v>109</v>
      </c>
      <c r="C32" s="96"/>
      <c r="D32" s="96"/>
      <c r="E32" s="96"/>
      <c r="F32" s="96"/>
      <c r="G32" s="97"/>
      <c r="H32" s="110"/>
      <c r="I32" s="111"/>
      <c r="J32" s="110">
        <v>-600</v>
      </c>
      <c r="K32" s="111"/>
    </row>
    <row r="33" spans="1:18" x14ac:dyDescent="0.3">
      <c r="A33" s="7" t="s">
        <v>438</v>
      </c>
      <c r="B33" s="92" t="s">
        <v>109</v>
      </c>
      <c r="C33" s="81"/>
      <c r="D33" s="81"/>
      <c r="E33" s="81"/>
      <c r="F33" s="81"/>
      <c r="G33" s="82"/>
      <c r="H33" s="106"/>
      <c r="I33" s="107"/>
      <c r="J33" s="106">
        <v>-300</v>
      </c>
      <c r="K33" s="107"/>
      <c r="L33" s="28" t="s">
        <v>179</v>
      </c>
    </row>
    <row r="34" spans="1:18" x14ac:dyDescent="0.3">
      <c r="A34" s="4" t="s">
        <v>439</v>
      </c>
      <c r="B34" s="77" t="s">
        <v>440</v>
      </c>
      <c r="C34" s="78"/>
      <c r="D34" s="78"/>
      <c r="E34" s="78"/>
      <c r="F34" s="78"/>
      <c r="G34" s="79"/>
      <c r="H34" s="108">
        <v>1500</v>
      </c>
      <c r="I34" s="109"/>
      <c r="J34" s="108"/>
      <c r="K34" s="109"/>
      <c r="L34" s="27">
        <f>SUM(J32+J33+H34)</f>
        <v>600</v>
      </c>
    </row>
    <row r="35" spans="1:18" x14ac:dyDescent="0.3">
      <c r="A35" s="6"/>
      <c r="B35" s="95" t="s">
        <v>109</v>
      </c>
      <c r="C35" s="96"/>
      <c r="D35" s="96"/>
      <c r="E35" s="96"/>
      <c r="F35" s="96"/>
      <c r="G35" s="97"/>
      <c r="H35" s="110"/>
      <c r="I35" s="111"/>
      <c r="J35" s="110">
        <v>-700</v>
      </c>
      <c r="K35" s="111"/>
      <c r="L35" s="28" t="s">
        <v>179</v>
      </c>
    </row>
    <row r="36" spans="1:18" x14ac:dyDescent="0.3">
      <c r="A36" s="4" t="s">
        <v>441</v>
      </c>
      <c r="B36" s="77" t="s">
        <v>442</v>
      </c>
      <c r="C36" s="78"/>
      <c r="D36" s="78"/>
      <c r="E36" s="78"/>
      <c r="F36" s="78"/>
      <c r="G36" s="79"/>
      <c r="H36" s="108">
        <v>1500</v>
      </c>
      <c r="I36" s="109"/>
      <c r="J36" s="108"/>
      <c r="K36" s="109"/>
      <c r="L36" s="27">
        <f>SUM(J35+H36)</f>
        <v>800</v>
      </c>
    </row>
    <row r="37" spans="1:18" x14ac:dyDescent="0.3">
      <c r="A37" s="6"/>
      <c r="B37" s="95" t="s">
        <v>109</v>
      </c>
      <c r="C37" s="96"/>
      <c r="D37" s="96"/>
      <c r="E37" s="96"/>
      <c r="F37" s="96"/>
      <c r="G37" s="97"/>
      <c r="H37" s="110"/>
      <c r="I37" s="111"/>
      <c r="J37" s="110">
        <v>-900</v>
      </c>
      <c r="K37" s="111"/>
    </row>
    <row r="38" spans="1:18" x14ac:dyDescent="0.3">
      <c r="A38" s="7" t="s">
        <v>443</v>
      </c>
      <c r="B38" s="92" t="s">
        <v>109</v>
      </c>
      <c r="C38" s="81"/>
      <c r="D38" s="81"/>
      <c r="E38" s="81"/>
      <c r="F38" s="81"/>
      <c r="G38" s="82"/>
      <c r="H38" s="106"/>
      <c r="I38" s="107"/>
      <c r="J38" s="106">
        <v>-800</v>
      </c>
      <c r="K38" s="107"/>
      <c r="L38" s="30" t="s">
        <v>309</v>
      </c>
    </row>
    <row r="39" spans="1:18" x14ac:dyDescent="0.3">
      <c r="A39" s="4" t="s">
        <v>444</v>
      </c>
      <c r="B39" s="77" t="s">
        <v>445</v>
      </c>
      <c r="C39" s="78"/>
      <c r="D39" s="78"/>
      <c r="E39" s="78"/>
      <c r="F39" s="78"/>
      <c r="G39" s="79"/>
      <c r="H39" s="108">
        <v>600</v>
      </c>
      <c r="I39" s="109"/>
      <c r="J39" s="108"/>
      <c r="K39" s="109"/>
      <c r="L39" s="27">
        <f>SUM(J37+J38+H39)</f>
        <v>-1100</v>
      </c>
      <c r="N39" s="1" t="s">
        <v>231</v>
      </c>
      <c r="P39" s="1" t="s">
        <v>232</v>
      </c>
      <c r="R39" s="22" t="s">
        <v>569</v>
      </c>
    </row>
    <row r="40" spans="1:18" x14ac:dyDescent="0.3">
      <c r="A40" s="4"/>
      <c r="B40" s="77" t="s">
        <v>446</v>
      </c>
      <c r="C40" s="78"/>
      <c r="D40" s="78"/>
      <c r="E40" s="78"/>
      <c r="F40" s="78"/>
      <c r="G40" s="79"/>
      <c r="H40" s="108"/>
      <c r="I40" s="109"/>
      <c r="J40" s="112"/>
      <c r="K40" s="109"/>
      <c r="N40" s="5">
        <f>SUM(H28:K41)</f>
        <v>-300</v>
      </c>
      <c r="P40" s="5">
        <f>SUM(L29:L39)</f>
        <v>-4800</v>
      </c>
      <c r="R40" s="23">
        <f>SUM(P16:P40)</f>
        <v>5800</v>
      </c>
    </row>
    <row r="41" spans="1:18" ht="15" thickBot="1" x14ac:dyDescent="0.35">
      <c r="A41" s="11"/>
      <c r="B41" s="104" t="s">
        <v>447</v>
      </c>
      <c r="C41" s="75"/>
      <c r="D41" s="75"/>
      <c r="E41" s="75"/>
      <c r="F41" s="75"/>
      <c r="G41" s="105"/>
      <c r="H41" s="113">
        <v>2000</v>
      </c>
      <c r="I41" s="114"/>
      <c r="J41" s="113"/>
      <c r="K41" s="114"/>
      <c r="N41" s="5"/>
      <c r="P41" s="5"/>
    </row>
    <row r="42" spans="1:18" x14ac:dyDescent="0.3">
      <c r="A42" s="6" t="s">
        <v>448</v>
      </c>
      <c r="B42" s="95" t="s">
        <v>109</v>
      </c>
      <c r="C42" s="96"/>
      <c r="D42" s="96"/>
      <c r="E42" s="96"/>
      <c r="F42" s="96"/>
      <c r="G42" s="97"/>
      <c r="H42" s="110"/>
      <c r="I42" s="111"/>
      <c r="J42" s="110">
        <v>-1100</v>
      </c>
      <c r="K42" s="111"/>
      <c r="L42" s="28" t="s">
        <v>179</v>
      </c>
    </row>
    <row r="43" spans="1:18" x14ac:dyDescent="0.3">
      <c r="A43" s="7" t="s">
        <v>449</v>
      </c>
      <c r="B43" s="77" t="s">
        <v>450</v>
      </c>
      <c r="C43" s="78"/>
      <c r="D43" s="78"/>
      <c r="E43" s="78"/>
      <c r="F43" s="78"/>
      <c r="G43" s="79"/>
      <c r="H43" s="108">
        <v>1000</v>
      </c>
      <c r="I43" s="109"/>
      <c r="J43" s="108"/>
      <c r="K43" s="109"/>
      <c r="L43" s="27">
        <f>SUM(H41:K43)+600</f>
        <v>2500</v>
      </c>
    </row>
    <row r="44" spans="1:18" x14ac:dyDescent="0.3">
      <c r="A44" s="6"/>
      <c r="B44" s="95" t="s">
        <v>109</v>
      </c>
      <c r="C44" s="96"/>
      <c r="D44" s="96"/>
      <c r="E44" s="96"/>
      <c r="F44" s="96"/>
      <c r="G44" s="97"/>
      <c r="H44" s="110"/>
      <c r="I44" s="111"/>
      <c r="J44" s="110">
        <v>-800</v>
      </c>
      <c r="K44" s="111"/>
    </row>
    <row r="45" spans="1:18" x14ac:dyDescent="0.3">
      <c r="A45" s="7" t="s">
        <v>451</v>
      </c>
      <c r="B45" s="92" t="s">
        <v>109</v>
      </c>
      <c r="C45" s="81"/>
      <c r="D45" s="81"/>
      <c r="E45" s="81"/>
      <c r="F45" s="81"/>
      <c r="G45" s="82"/>
      <c r="H45" s="106"/>
      <c r="I45" s="107"/>
      <c r="J45" s="106">
        <v>-500</v>
      </c>
      <c r="K45" s="107"/>
    </row>
    <row r="46" spans="1:18" x14ac:dyDescent="0.3">
      <c r="A46" s="7" t="s">
        <v>452</v>
      </c>
      <c r="B46" s="92" t="s">
        <v>109</v>
      </c>
      <c r="C46" s="81"/>
      <c r="D46" s="81"/>
      <c r="E46" s="81"/>
      <c r="F46" s="81"/>
      <c r="G46" s="82"/>
      <c r="H46" s="106"/>
      <c r="I46" s="107"/>
      <c r="J46" s="106">
        <v>-200</v>
      </c>
      <c r="K46" s="107"/>
    </row>
    <row r="47" spans="1:18" x14ac:dyDescent="0.3">
      <c r="A47" s="7" t="s">
        <v>453</v>
      </c>
      <c r="B47" s="92" t="s">
        <v>236</v>
      </c>
      <c r="C47" s="81"/>
      <c r="D47" s="81"/>
      <c r="E47" s="81"/>
      <c r="F47" s="81"/>
      <c r="G47" s="82"/>
      <c r="H47" s="106"/>
      <c r="I47" s="107"/>
      <c r="J47" s="106">
        <v>-3500</v>
      </c>
      <c r="K47" s="107"/>
      <c r="L47" s="30" t="s">
        <v>309</v>
      </c>
    </row>
    <row r="48" spans="1:18" x14ac:dyDescent="0.3">
      <c r="A48" s="7" t="s">
        <v>458</v>
      </c>
      <c r="B48" s="92" t="s">
        <v>459</v>
      </c>
      <c r="C48" s="81"/>
      <c r="D48" s="81"/>
      <c r="E48" s="81"/>
      <c r="F48" s="81"/>
      <c r="G48" s="82"/>
      <c r="H48" s="106">
        <v>2700</v>
      </c>
      <c r="I48" s="107"/>
      <c r="J48" s="106"/>
      <c r="K48" s="107"/>
      <c r="L48" s="27">
        <f>SUM(H44:K48)</f>
        <v>-2300</v>
      </c>
    </row>
    <row r="49" spans="1:16" x14ac:dyDescent="0.3">
      <c r="A49" s="7" t="s">
        <v>454</v>
      </c>
      <c r="B49" s="92" t="s">
        <v>455</v>
      </c>
      <c r="C49" s="81"/>
      <c r="D49" s="81"/>
      <c r="E49" s="81"/>
      <c r="F49" s="81"/>
      <c r="G49" s="82"/>
      <c r="H49" s="106">
        <v>3420</v>
      </c>
      <c r="I49" s="107"/>
      <c r="J49" s="106"/>
      <c r="K49" s="107"/>
    </row>
    <row r="50" spans="1:16" x14ac:dyDescent="0.3">
      <c r="A50" s="7" t="s">
        <v>456</v>
      </c>
      <c r="B50" s="92" t="s">
        <v>457</v>
      </c>
      <c r="C50" s="81"/>
      <c r="D50" s="81"/>
      <c r="E50" s="81"/>
      <c r="F50" s="81"/>
      <c r="G50" s="82"/>
      <c r="H50" s="106">
        <v>2000</v>
      </c>
      <c r="I50" s="107"/>
      <c r="J50" s="106"/>
      <c r="K50" s="107"/>
    </row>
    <row r="51" spans="1:16" x14ac:dyDescent="0.3">
      <c r="A51" s="7" t="s">
        <v>460</v>
      </c>
      <c r="B51" s="92" t="s">
        <v>461</v>
      </c>
      <c r="C51" s="81"/>
      <c r="D51" s="81"/>
      <c r="E51" s="81"/>
      <c r="F51" s="81"/>
      <c r="G51" s="82"/>
      <c r="H51" s="106"/>
      <c r="I51" s="107"/>
      <c r="J51" s="106">
        <v>-1200</v>
      </c>
      <c r="K51" s="107"/>
      <c r="L51" s="28" t="s">
        <v>179</v>
      </c>
    </row>
    <row r="52" spans="1:16" x14ac:dyDescent="0.3">
      <c r="A52" s="4" t="s">
        <v>462</v>
      </c>
      <c r="B52" s="77" t="s">
        <v>463</v>
      </c>
      <c r="C52" s="78"/>
      <c r="D52" s="78"/>
      <c r="E52" s="78"/>
      <c r="F52" s="78"/>
      <c r="G52" s="79"/>
      <c r="H52" s="108">
        <v>600</v>
      </c>
      <c r="I52" s="109"/>
      <c r="J52" s="108"/>
      <c r="K52" s="109"/>
      <c r="L52" s="27">
        <f>SUM(H49:K52)</f>
        <v>4820</v>
      </c>
    </row>
    <row r="53" spans="1:16" x14ac:dyDescent="0.3">
      <c r="A53" s="6"/>
      <c r="B53" s="95" t="s">
        <v>464</v>
      </c>
      <c r="C53" s="96"/>
      <c r="D53" s="96"/>
      <c r="E53" s="96"/>
      <c r="F53" s="96"/>
      <c r="G53" s="97"/>
      <c r="H53" s="110"/>
      <c r="I53" s="111"/>
      <c r="J53" s="110">
        <v>-120</v>
      </c>
      <c r="K53" s="111"/>
    </row>
    <row r="54" spans="1:16" x14ac:dyDescent="0.3">
      <c r="A54" s="7" t="s">
        <v>465</v>
      </c>
      <c r="B54" s="92" t="s">
        <v>109</v>
      </c>
      <c r="C54" s="81"/>
      <c r="D54" s="81"/>
      <c r="E54" s="81"/>
      <c r="F54" s="81"/>
      <c r="G54" s="82"/>
      <c r="H54" s="106"/>
      <c r="I54" s="107"/>
      <c r="J54" s="106">
        <v>-2800</v>
      </c>
      <c r="K54" s="107"/>
      <c r="L54" s="30" t="s">
        <v>309</v>
      </c>
    </row>
    <row r="55" spans="1:16" x14ac:dyDescent="0.3">
      <c r="A55" s="4" t="s">
        <v>466</v>
      </c>
      <c r="B55" s="77" t="s">
        <v>467</v>
      </c>
      <c r="C55" s="78"/>
      <c r="D55" s="78"/>
      <c r="E55" s="78"/>
      <c r="F55" s="78"/>
      <c r="G55" s="79"/>
      <c r="H55" s="108">
        <v>1900</v>
      </c>
      <c r="I55" s="109"/>
      <c r="J55" s="108"/>
      <c r="K55" s="109"/>
      <c r="L55" s="27">
        <f>SUM(H53:K55)</f>
        <v>-1020</v>
      </c>
    </row>
    <row r="56" spans="1:16" x14ac:dyDescent="0.3">
      <c r="A56" s="6"/>
      <c r="B56" s="95" t="s">
        <v>468</v>
      </c>
      <c r="C56" s="96"/>
      <c r="D56" s="96"/>
      <c r="E56" s="96"/>
      <c r="F56" s="96"/>
      <c r="G56" s="97"/>
      <c r="H56" s="110"/>
      <c r="I56" s="111"/>
      <c r="J56" s="110">
        <v>-1900</v>
      </c>
      <c r="K56" s="111"/>
      <c r="N56" s="1" t="s">
        <v>249</v>
      </c>
      <c r="P56" s="1" t="s">
        <v>250</v>
      </c>
    </row>
    <row r="57" spans="1:16" x14ac:dyDescent="0.3">
      <c r="A57" s="7" t="s">
        <v>469</v>
      </c>
      <c r="B57" s="92" t="s">
        <v>470</v>
      </c>
      <c r="C57" s="81"/>
      <c r="D57" s="81"/>
      <c r="E57" s="81"/>
      <c r="F57" s="81"/>
      <c r="G57" s="82"/>
      <c r="H57" s="106">
        <v>700</v>
      </c>
      <c r="I57" s="107"/>
      <c r="J57" s="106"/>
      <c r="K57" s="107"/>
      <c r="N57" s="5">
        <f>SUM(H42:K57)</f>
        <v>200</v>
      </c>
      <c r="P57" s="5">
        <f>SUM(L43+L48+L52+L55)</f>
        <v>4000</v>
      </c>
    </row>
    <row r="58" spans="1:16" x14ac:dyDescent="0.3">
      <c r="A58" s="7" t="s">
        <v>473</v>
      </c>
      <c r="B58" s="92" t="s">
        <v>474</v>
      </c>
      <c r="C58" s="81"/>
      <c r="D58" s="81"/>
      <c r="E58" s="81"/>
      <c r="F58" s="81"/>
      <c r="G58" s="82"/>
      <c r="H58" s="106"/>
      <c r="I58" s="107"/>
      <c r="J58" s="106">
        <v>-1000</v>
      </c>
      <c r="K58" s="107"/>
    </row>
    <row r="59" spans="1:16" x14ac:dyDescent="0.3">
      <c r="A59" s="7" t="s">
        <v>475</v>
      </c>
      <c r="B59" s="92" t="s">
        <v>476</v>
      </c>
      <c r="C59" s="81"/>
      <c r="D59" s="81"/>
      <c r="E59" s="81"/>
      <c r="F59" s="81"/>
      <c r="G59" s="82"/>
      <c r="H59" s="106"/>
      <c r="I59" s="107"/>
      <c r="J59" s="106">
        <v>-2000</v>
      </c>
      <c r="K59" s="107"/>
    </row>
    <row r="60" spans="1:16" x14ac:dyDescent="0.3">
      <c r="A60" s="4" t="s">
        <v>471</v>
      </c>
      <c r="B60" s="77" t="s">
        <v>472</v>
      </c>
      <c r="C60" s="78"/>
      <c r="D60" s="78"/>
      <c r="E60" s="78"/>
      <c r="F60" s="78"/>
      <c r="G60" s="79"/>
      <c r="H60" s="108">
        <v>300</v>
      </c>
      <c r="I60" s="109"/>
      <c r="J60" s="108"/>
      <c r="K60" s="109"/>
    </row>
    <row r="61" spans="1:16" x14ac:dyDescent="0.3">
      <c r="A61" s="6"/>
      <c r="B61" s="95" t="s">
        <v>8</v>
      </c>
      <c r="C61" s="96"/>
      <c r="D61" s="96"/>
      <c r="E61" s="96"/>
      <c r="F61" s="96"/>
      <c r="G61" s="97"/>
      <c r="H61" s="110">
        <v>600</v>
      </c>
      <c r="I61" s="111"/>
      <c r="J61" s="110"/>
      <c r="K61" s="111"/>
    </row>
    <row r="62" spans="1:16" x14ac:dyDescent="0.3">
      <c r="A62" s="7" t="s">
        <v>477</v>
      </c>
      <c r="B62" s="92" t="s">
        <v>478</v>
      </c>
      <c r="C62" s="81"/>
      <c r="D62" s="81"/>
      <c r="E62" s="81"/>
      <c r="F62" s="81"/>
      <c r="G62" s="82"/>
      <c r="H62" s="106"/>
      <c r="I62" s="107"/>
      <c r="J62" s="106">
        <v>-1200</v>
      </c>
      <c r="K62" s="107"/>
      <c r="L62" s="28" t="s">
        <v>179</v>
      </c>
    </row>
    <row r="63" spans="1:16" x14ac:dyDescent="0.3">
      <c r="A63" s="4" t="s">
        <v>479</v>
      </c>
      <c r="B63" s="77" t="s">
        <v>480</v>
      </c>
      <c r="C63" s="78"/>
      <c r="D63" s="78"/>
      <c r="E63" s="78"/>
      <c r="F63" s="78"/>
      <c r="G63" s="79"/>
      <c r="H63" s="108">
        <v>800</v>
      </c>
      <c r="I63" s="109"/>
      <c r="J63" s="108"/>
      <c r="K63" s="109"/>
      <c r="L63" s="27">
        <f>SUM(H60:K63)</f>
        <v>500</v>
      </c>
    </row>
    <row r="64" spans="1:16" x14ac:dyDescent="0.3">
      <c r="A64" s="6"/>
      <c r="B64" s="95" t="s">
        <v>273</v>
      </c>
      <c r="C64" s="96"/>
      <c r="D64" s="96"/>
      <c r="E64" s="96"/>
      <c r="F64" s="96"/>
      <c r="G64" s="97"/>
      <c r="H64" s="110"/>
      <c r="I64" s="111"/>
      <c r="J64" s="110">
        <v>-100</v>
      </c>
      <c r="K64" s="111"/>
    </row>
    <row r="65" spans="1:16" x14ac:dyDescent="0.3">
      <c r="A65" s="7" t="s">
        <v>481</v>
      </c>
      <c r="B65" s="92" t="s">
        <v>482</v>
      </c>
      <c r="C65" s="81"/>
      <c r="D65" s="81"/>
      <c r="E65" s="81"/>
      <c r="F65" s="81"/>
      <c r="G65" s="82"/>
      <c r="H65" s="106">
        <v>700</v>
      </c>
      <c r="I65" s="107"/>
      <c r="J65" s="106"/>
      <c r="K65" s="107"/>
    </row>
    <row r="66" spans="1:16" x14ac:dyDescent="0.3">
      <c r="A66" s="7" t="s">
        <v>483</v>
      </c>
      <c r="B66" s="92" t="s">
        <v>109</v>
      </c>
      <c r="C66" s="81"/>
      <c r="D66" s="81"/>
      <c r="E66" s="81"/>
      <c r="F66" s="81"/>
      <c r="G66" s="82"/>
      <c r="H66" s="106"/>
      <c r="I66" s="107"/>
      <c r="J66" s="106">
        <v>-400</v>
      </c>
      <c r="K66" s="107"/>
      <c r="L66" s="28" t="s">
        <v>179</v>
      </c>
    </row>
    <row r="67" spans="1:16" x14ac:dyDescent="0.3">
      <c r="A67" s="4" t="s">
        <v>484</v>
      </c>
      <c r="B67" s="77" t="s">
        <v>485</v>
      </c>
      <c r="C67" s="78"/>
      <c r="D67" s="78"/>
      <c r="E67" s="78"/>
      <c r="F67" s="78"/>
      <c r="G67" s="79"/>
      <c r="H67" s="108">
        <v>700</v>
      </c>
      <c r="I67" s="109"/>
      <c r="J67" s="108"/>
      <c r="K67" s="109"/>
      <c r="L67" s="27">
        <f>SUM(H64:K67)</f>
        <v>900</v>
      </c>
    </row>
    <row r="68" spans="1:16" x14ac:dyDescent="0.3">
      <c r="A68" s="6"/>
      <c r="B68" s="95" t="s">
        <v>109</v>
      </c>
      <c r="C68" s="96"/>
      <c r="D68" s="96"/>
      <c r="E68" s="96"/>
      <c r="F68" s="96"/>
      <c r="G68" s="97"/>
      <c r="H68" s="110"/>
      <c r="I68" s="111"/>
      <c r="J68" s="110">
        <v>-700</v>
      </c>
      <c r="K68" s="111"/>
    </row>
    <row r="69" spans="1:16" x14ac:dyDescent="0.3">
      <c r="A69" s="7" t="s">
        <v>486</v>
      </c>
      <c r="B69" s="125" t="s">
        <v>273</v>
      </c>
      <c r="C69" s="126"/>
      <c r="D69" s="126"/>
      <c r="E69" s="126"/>
      <c r="F69" s="126"/>
      <c r="G69" s="127"/>
      <c r="H69" s="106"/>
      <c r="I69" s="107"/>
      <c r="J69" s="106">
        <v>-100</v>
      </c>
      <c r="K69" s="107"/>
      <c r="L69" s="28" t="s">
        <v>179</v>
      </c>
    </row>
    <row r="70" spans="1:16" x14ac:dyDescent="0.3">
      <c r="A70" s="49" t="s">
        <v>487</v>
      </c>
      <c r="B70" s="125" t="s">
        <v>488</v>
      </c>
      <c r="C70" s="126"/>
      <c r="D70" s="126"/>
      <c r="E70" s="126"/>
      <c r="F70" s="126"/>
      <c r="G70" s="127"/>
      <c r="H70" s="112">
        <v>1300</v>
      </c>
      <c r="I70" s="109"/>
      <c r="J70" s="108"/>
      <c r="K70" s="109"/>
      <c r="L70" s="27">
        <f>SUM(H68:K70)</f>
        <v>500</v>
      </c>
    </row>
    <row r="71" spans="1:16" x14ac:dyDescent="0.3">
      <c r="A71" s="6"/>
      <c r="B71" s="95" t="s">
        <v>489</v>
      </c>
      <c r="C71" s="96"/>
      <c r="D71" s="96"/>
      <c r="E71" s="96"/>
      <c r="F71" s="96"/>
      <c r="G71" s="97"/>
      <c r="H71" s="110"/>
      <c r="I71" s="111"/>
      <c r="J71" s="110">
        <v>-200</v>
      </c>
      <c r="K71" s="111"/>
      <c r="N71" s="1"/>
    </row>
    <row r="72" spans="1:16" x14ac:dyDescent="0.3">
      <c r="A72" s="7" t="s">
        <v>490</v>
      </c>
      <c r="B72" s="92" t="s">
        <v>491</v>
      </c>
      <c r="C72" s="81"/>
      <c r="D72" s="81"/>
      <c r="E72" s="81"/>
      <c r="F72" s="81"/>
      <c r="G72" s="82"/>
      <c r="H72" s="106">
        <v>1800</v>
      </c>
      <c r="I72" s="107"/>
      <c r="J72" s="106"/>
      <c r="K72" s="107"/>
      <c r="N72" s="1" t="s">
        <v>267</v>
      </c>
      <c r="P72" s="1" t="s">
        <v>268</v>
      </c>
    </row>
    <row r="73" spans="1:16" x14ac:dyDescent="0.3">
      <c r="A73" s="7" t="s">
        <v>493</v>
      </c>
      <c r="B73" s="92" t="s">
        <v>494</v>
      </c>
      <c r="C73" s="81"/>
      <c r="D73" s="81"/>
      <c r="E73" s="81"/>
      <c r="F73" s="81"/>
      <c r="G73" s="82"/>
      <c r="H73" s="106">
        <v>1200</v>
      </c>
      <c r="I73" s="107"/>
      <c r="J73" s="106"/>
      <c r="K73" s="107"/>
      <c r="N73" s="5">
        <f>SUM(H58:K73)</f>
        <v>1700</v>
      </c>
      <c r="P73" s="5">
        <f>SUM(L63+L67+L70)</f>
        <v>1900</v>
      </c>
    </row>
    <row r="74" spans="1:16" x14ac:dyDescent="0.3">
      <c r="A74" s="7" t="s">
        <v>492</v>
      </c>
      <c r="B74" s="92" t="s">
        <v>420</v>
      </c>
      <c r="C74" s="81"/>
      <c r="D74" s="81"/>
      <c r="E74" s="81"/>
      <c r="F74" s="81"/>
      <c r="G74" s="82"/>
      <c r="H74" s="106"/>
      <c r="I74" s="107"/>
      <c r="J74" s="106">
        <v>-3000</v>
      </c>
      <c r="K74" s="107"/>
      <c r="L74" s="28" t="s">
        <v>179</v>
      </c>
    </row>
    <row r="75" spans="1:16" x14ac:dyDescent="0.3">
      <c r="A75" s="7" t="s">
        <v>495</v>
      </c>
      <c r="B75" s="92" t="s">
        <v>496</v>
      </c>
      <c r="C75" s="81"/>
      <c r="D75" s="81"/>
      <c r="E75" s="81"/>
      <c r="F75" s="81"/>
      <c r="G75" s="82"/>
      <c r="H75" s="106">
        <v>1800</v>
      </c>
      <c r="I75" s="107"/>
      <c r="J75" s="106"/>
      <c r="K75" s="107"/>
      <c r="L75" s="27">
        <f>SUM(H71:K75)</f>
        <v>1600</v>
      </c>
    </row>
    <row r="76" spans="1:16" x14ac:dyDescent="0.3">
      <c r="A76" s="7" t="s">
        <v>497</v>
      </c>
      <c r="B76" s="92" t="s">
        <v>404</v>
      </c>
      <c r="C76" s="81"/>
      <c r="D76" s="81"/>
      <c r="E76" s="81"/>
      <c r="F76" s="81"/>
      <c r="G76" s="82"/>
      <c r="H76" s="106">
        <v>700</v>
      </c>
      <c r="I76" s="107"/>
      <c r="J76" s="106"/>
      <c r="K76" s="107"/>
    </row>
    <row r="77" spans="1:16" x14ac:dyDescent="0.3">
      <c r="A77" s="4" t="s">
        <v>498</v>
      </c>
      <c r="B77" s="77" t="s">
        <v>499</v>
      </c>
      <c r="C77" s="78"/>
      <c r="D77" s="78"/>
      <c r="E77" s="78"/>
      <c r="F77" s="78"/>
      <c r="G77" s="79"/>
      <c r="H77" s="108"/>
      <c r="I77" s="109"/>
      <c r="J77" s="108">
        <v>-600</v>
      </c>
      <c r="K77" s="109"/>
      <c r="L77" s="28" t="s">
        <v>179</v>
      </c>
    </row>
    <row r="78" spans="1:16" x14ac:dyDescent="0.3">
      <c r="A78" s="6"/>
      <c r="B78" s="95" t="s">
        <v>500</v>
      </c>
      <c r="C78" s="96"/>
      <c r="D78" s="96"/>
      <c r="E78" s="96"/>
      <c r="F78" s="96"/>
      <c r="G78" s="97"/>
      <c r="H78" s="110">
        <v>500</v>
      </c>
      <c r="I78" s="111"/>
      <c r="J78" s="110"/>
      <c r="K78" s="111"/>
      <c r="L78" s="27">
        <f>SUM(H76:K78)</f>
        <v>600</v>
      </c>
    </row>
    <row r="79" spans="1:16" x14ac:dyDescent="0.3">
      <c r="A79" s="7" t="s">
        <v>501</v>
      </c>
      <c r="B79" s="92" t="s">
        <v>502</v>
      </c>
      <c r="C79" s="81"/>
      <c r="D79" s="81"/>
      <c r="E79" s="81"/>
      <c r="F79" s="81"/>
      <c r="G79" s="82"/>
      <c r="H79" s="106"/>
      <c r="I79" s="107"/>
      <c r="J79" s="106">
        <v>-500</v>
      </c>
      <c r="K79" s="107"/>
      <c r="L79" s="28" t="s">
        <v>179</v>
      </c>
    </row>
    <row r="80" spans="1:16" x14ac:dyDescent="0.3">
      <c r="A80" s="4" t="s">
        <v>503</v>
      </c>
      <c r="B80" s="77" t="s">
        <v>504</v>
      </c>
      <c r="C80" s="78"/>
      <c r="D80" s="78"/>
      <c r="E80" s="78"/>
      <c r="F80" s="78"/>
      <c r="G80" s="79"/>
      <c r="H80" s="108">
        <v>600</v>
      </c>
      <c r="I80" s="109"/>
      <c r="J80" s="108"/>
      <c r="K80" s="109"/>
      <c r="L80" s="27">
        <f>SUM(H79:K80)</f>
        <v>100</v>
      </c>
    </row>
    <row r="81" spans="1:18" x14ac:dyDescent="0.3">
      <c r="A81" s="6"/>
      <c r="B81" s="95" t="s">
        <v>505</v>
      </c>
      <c r="C81" s="96"/>
      <c r="D81" s="96"/>
      <c r="E81" s="96"/>
      <c r="F81" s="96"/>
      <c r="G81" s="97"/>
      <c r="H81" s="110"/>
      <c r="I81" s="111"/>
      <c r="J81" s="110">
        <v>-500</v>
      </c>
      <c r="K81" s="111"/>
    </row>
    <row r="82" spans="1:18" x14ac:dyDescent="0.3">
      <c r="A82" s="7" t="s">
        <v>506</v>
      </c>
      <c r="B82" s="92" t="s">
        <v>502</v>
      </c>
      <c r="C82" s="81"/>
      <c r="D82" s="81"/>
      <c r="E82" s="81"/>
      <c r="F82" s="81"/>
      <c r="G82" s="82"/>
      <c r="H82" s="106"/>
      <c r="I82" s="107"/>
      <c r="J82" s="106">
        <v>-300</v>
      </c>
      <c r="K82" s="107"/>
    </row>
    <row r="83" spans="1:18" x14ac:dyDescent="0.3">
      <c r="A83" s="7" t="s">
        <v>507</v>
      </c>
      <c r="B83" s="92" t="s">
        <v>508</v>
      </c>
      <c r="C83" s="81"/>
      <c r="D83" s="81"/>
      <c r="E83" s="81"/>
      <c r="F83" s="81"/>
      <c r="G83" s="82"/>
      <c r="H83" s="106">
        <v>500</v>
      </c>
      <c r="I83" s="107"/>
      <c r="J83" s="106"/>
      <c r="K83" s="107"/>
      <c r="L83" s="28" t="s">
        <v>179</v>
      </c>
    </row>
    <row r="84" spans="1:18" x14ac:dyDescent="0.3">
      <c r="A84" s="4" t="s">
        <v>509</v>
      </c>
      <c r="B84" s="77" t="s">
        <v>510</v>
      </c>
      <c r="C84" s="78"/>
      <c r="D84" s="78"/>
      <c r="E84" s="78"/>
      <c r="F84" s="78"/>
      <c r="G84" s="79"/>
      <c r="H84" s="108">
        <v>500</v>
      </c>
      <c r="I84" s="109"/>
      <c r="J84" s="108"/>
      <c r="K84" s="109"/>
      <c r="L84" s="27">
        <f>SUM(H81:K84)</f>
        <v>200</v>
      </c>
    </row>
    <row r="85" spans="1:18" x14ac:dyDescent="0.3">
      <c r="A85" s="6"/>
      <c r="B85" s="95" t="s">
        <v>502</v>
      </c>
      <c r="C85" s="96"/>
      <c r="D85" s="96"/>
      <c r="E85" s="96"/>
      <c r="F85" s="96"/>
      <c r="G85" s="97"/>
      <c r="H85" s="110"/>
      <c r="I85" s="111"/>
      <c r="J85" s="110">
        <v>-500</v>
      </c>
      <c r="K85" s="111"/>
      <c r="L85" s="31" t="s">
        <v>512</v>
      </c>
      <c r="N85" s="1" t="s">
        <v>278</v>
      </c>
      <c r="P85" s="1" t="s">
        <v>279</v>
      </c>
      <c r="R85" s="22" t="s">
        <v>281</v>
      </c>
    </row>
    <row r="86" spans="1:18" ht="15" thickBot="1" x14ac:dyDescent="0.35">
      <c r="A86" s="10" t="s">
        <v>511</v>
      </c>
      <c r="B86" s="130" t="s">
        <v>122</v>
      </c>
      <c r="C86" s="131"/>
      <c r="D86" s="131"/>
      <c r="E86" s="131"/>
      <c r="F86" s="131"/>
      <c r="G86" s="132"/>
      <c r="H86" s="128">
        <v>500</v>
      </c>
      <c r="I86" s="129"/>
      <c r="J86" s="128"/>
      <c r="K86" s="129"/>
      <c r="L86" s="27">
        <f>SUM(H85:K86)</f>
        <v>0</v>
      </c>
      <c r="N86" s="5">
        <f>SUM(H74:K86)</f>
        <v>-300</v>
      </c>
      <c r="P86" s="5">
        <f>SUM(L75+L78+L80+L84)</f>
        <v>2500</v>
      </c>
      <c r="R86" s="23">
        <f>SUM(P57:P86)</f>
        <v>8400</v>
      </c>
    </row>
    <row r="87" spans="1:18" x14ac:dyDescent="0.3">
      <c r="A87" s="6" t="s">
        <v>513</v>
      </c>
      <c r="B87" s="95" t="s">
        <v>514</v>
      </c>
      <c r="C87" s="96"/>
      <c r="D87" s="96"/>
      <c r="E87" s="96"/>
      <c r="F87" s="96"/>
      <c r="G87" s="97"/>
      <c r="H87" s="110"/>
      <c r="I87" s="111"/>
      <c r="J87" s="110">
        <v>-800</v>
      </c>
      <c r="K87" s="111"/>
    </row>
    <row r="88" spans="1:18" x14ac:dyDescent="0.3">
      <c r="A88" s="7" t="s">
        <v>515</v>
      </c>
      <c r="B88" s="92" t="s">
        <v>109</v>
      </c>
      <c r="C88" s="81"/>
      <c r="D88" s="81"/>
      <c r="E88" s="81"/>
      <c r="F88" s="81"/>
      <c r="G88" s="82"/>
      <c r="H88" s="106"/>
      <c r="I88" s="107"/>
      <c r="J88" s="106">
        <v>-400</v>
      </c>
      <c r="K88" s="107"/>
      <c r="L88" s="30" t="s">
        <v>309</v>
      </c>
    </row>
    <row r="89" spans="1:18" x14ac:dyDescent="0.3">
      <c r="A89" s="4" t="s">
        <v>516</v>
      </c>
      <c r="B89" s="77" t="s">
        <v>517</v>
      </c>
      <c r="C89" s="78"/>
      <c r="D89" s="78"/>
      <c r="E89" s="78"/>
      <c r="F89" s="78"/>
      <c r="G89" s="79"/>
      <c r="H89" s="108">
        <v>900</v>
      </c>
      <c r="I89" s="109"/>
      <c r="J89" s="108"/>
      <c r="K89" s="109"/>
      <c r="L89" s="27">
        <f>SUM(H87:K89)</f>
        <v>-300</v>
      </c>
    </row>
    <row r="90" spans="1:18" x14ac:dyDescent="0.3">
      <c r="A90" s="6"/>
      <c r="B90" s="95" t="s">
        <v>502</v>
      </c>
      <c r="C90" s="96"/>
      <c r="D90" s="96"/>
      <c r="E90" s="96"/>
      <c r="F90" s="96"/>
      <c r="G90" s="97"/>
      <c r="H90" s="110"/>
      <c r="I90" s="111"/>
      <c r="J90" s="110">
        <v>-300</v>
      </c>
      <c r="K90" s="111"/>
      <c r="L90" s="28" t="s">
        <v>179</v>
      </c>
    </row>
    <row r="91" spans="1:18" x14ac:dyDescent="0.3">
      <c r="A91" s="4" t="s">
        <v>518</v>
      </c>
      <c r="B91" s="77" t="s">
        <v>517</v>
      </c>
      <c r="C91" s="78"/>
      <c r="D91" s="78"/>
      <c r="E91" s="78"/>
      <c r="F91" s="78"/>
      <c r="G91" s="79"/>
      <c r="H91" s="108">
        <v>600</v>
      </c>
      <c r="I91" s="109"/>
      <c r="J91" s="108"/>
      <c r="K91" s="109"/>
      <c r="L91" s="27">
        <f>SUM(H90:K91)</f>
        <v>300</v>
      </c>
    </row>
    <row r="92" spans="1:18" x14ac:dyDescent="0.3">
      <c r="A92" s="6"/>
      <c r="B92" s="95" t="s">
        <v>514</v>
      </c>
      <c r="C92" s="96"/>
      <c r="D92" s="96"/>
      <c r="E92" s="96"/>
      <c r="F92" s="96"/>
      <c r="G92" s="97"/>
      <c r="H92" s="110"/>
      <c r="I92" s="111"/>
      <c r="J92" s="110">
        <v>-600</v>
      </c>
      <c r="K92" s="111"/>
      <c r="L92" s="30" t="s">
        <v>309</v>
      </c>
    </row>
    <row r="93" spans="1:18" x14ac:dyDescent="0.3">
      <c r="A93" s="4" t="s">
        <v>519</v>
      </c>
      <c r="B93" s="77" t="s">
        <v>517</v>
      </c>
      <c r="C93" s="78"/>
      <c r="D93" s="78"/>
      <c r="E93" s="78"/>
      <c r="F93" s="78"/>
      <c r="G93" s="79"/>
      <c r="H93" s="108">
        <v>200</v>
      </c>
      <c r="I93" s="109"/>
      <c r="J93" s="108"/>
      <c r="K93" s="109"/>
      <c r="L93" s="27">
        <f>SUM(H92:K93)</f>
        <v>-400</v>
      </c>
    </row>
    <row r="94" spans="1:18" x14ac:dyDescent="0.3">
      <c r="A94" s="6"/>
      <c r="B94" s="95" t="s">
        <v>502</v>
      </c>
      <c r="C94" s="96"/>
      <c r="D94" s="96"/>
      <c r="E94" s="96"/>
      <c r="F94" s="96"/>
      <c r="G94" s="97"/>
      <c r="H94" s="110"/>
      <c r="I94" s="111"/>
      <c r="J94" s="110">
        <v>-500</v>
      </c>
      <c r="K94" s="111"/>
    </row>
    <row r="95" spans="1:18" x14ac:dyDescent="0.3">
      <c r="A95" s="7" t="s">
        <v>520</v>
      </c>
      <c r="B95" s="92" t="s">
        <v>236</v>
      </c>
      <c r="C95" s="81"/>
      <c r="D95" s="81"/>
      <c r="E95" s="81"/>
      <c r="F95" s="81"/>
      <c r="G95" s="82"/>
      <c r="H95" s="106"/>
      <c r="I95" s="107"/>
      <c r="J95" s="106">
        <v>-2700</v>
      </c>
      <c r="K95" s="107"/>
      <c r="L95" s="30" t="s">
        <v>309</v>
      </c>
      <c r="N95" s="1" t="s">
        <v>299</v>
      </c>
      <c r="P95" s="1" t="s">
        <v>300</v>
      </c>
    </row>
    <row r="96" spans="1:18" x14ac:dyDescent="0.3">
      <c r="A96" s="7" t="s">
        <v>521</v>
      </c>
      <c r="B96" s="92" t="s">
        <v>517</v>
      </c>
      <c r="C96" s="81"/>
      <c r="D96" s="81"/>
      <c r="E96" s="81"/>
      <c r="F96" s="81"/>
      <c r="G96" s="82"/>
      <c r="H96" s="106">
        <v>300</v>
      </c>
      <c r="I96" s="107"/>
      <c r="J96" s="106"/>
      <c r="K96" s="107"/>
      <c r="L96" s="27">
        <f>SUM(H94:K96)</f>
        <v>-2900</v>
      </c>
      <c r="N96" s="5">
        <f>SUM(H87:K96)</f>
        <v>-3300</v>
      </c>
      <c r="P96" s="5">
        <f>SUM(L89:L96)</f>
        <v>-3300</v>
      </c>
    </row>
    <row r="97" spans="1:16" x14ac:dyDescent="0.3">
      <c r="A97" s="7" t="s">
        <v>522</v>
      </c>
      <c r="B97" s="92" t="s">
        <v>523</v>
      </c>
      <c r="C97" s="81"/>
      <c r="D97" s="81"/>
      <c r="E97" s="81"/>
      <c r="F97" s="81"/>
      <c r="G97" s="82"/>
      <c r="H97" s="106"/>
      <c r="I97" s="107"/>
      <c r="J97" s="106">
        <v>-1200</v>
      </c>
      <c r="K97" s="107"/>
      <c r="L97" s="30" t="s">
        <v>309</v>
      </c>
    </row>
    <row r="98" spans="1:16" x14ac:dyDescent="0.3">
      <c r="A98" s="7" t="s">
        <v>524</v>
      </c>
      <c r="B98" s="92" t="s">
        <v>517</v>
      </c>
      <c r="C98" s="81"/>
      <c r="D98" s="81"/>
      <c r="E98" s="81"/>
      <c r="F98" s="81"/>
      <c r="G98" s="82"/>
      <c r="H98" s="106">
        <v>500</v>
      </c>
      <c r="I98" s="107"/>
      <c r="J98" s="106"/>
      <c r="K98" s="107"/>
      <c r="L98" s="27">
        <f>SUM(H97:K98)</f>
        <v>-700</v>
      </c>
    </row>
    <row r="99" spans="1:16" x14ac:dyDescent="0.3">
      <c r="A99" s="7" t="s">
        <v>525</v>
      </c>
      <c r="B99" s="92" t="s">
        <v>287</v>
      </c>
      <c r="C99" s="81"/>
      <c r="D99" s="81"/>
      <c r="E99" s="81"/>
      <c r="F99" s="81"/>
      <c r="G99" s="82"/>
      <c r="H99" s="106"/>
      <c r="I99" s="107"/>
      <c r="J99" s="106">
        <v>-1900</v>
      </c>
      <c r="K99" s="107"/>
    </row>
    <row r="100" spans="1:16" x14ac:dyDescent="0.3">
      <c r="A100" s="7" t="s">
        <v>526</v>
      </c>
      <c r="B100" s="92" t="s">
        <v>404</v>
      </c>
      <c r="C100" s="81"/>
      <c r="D100" s="81"/>
      <c r="E100" s="81"/>
      <c r="F100" s="81"/>
      <c r="G100" s="82"/>
      <c r="H100" s="106">
        <v>500</v>
      </c>
      <c r="I100" s="107"/>
      <c r="J100" s="106"/>
      <c r="K100" s="107"/>
      <c r="L100" s="30" t="s">
        <v>309</v>
      </c>
    </row>
    <row r="101" spans="1:16" x14ac:dyDescent="0.3">
      <c r="A101" s="51" t="s">
        <v>527</v>
      </c>
      <c r="B101" s="92" t="s">
        <v>517</v>
      </c>
      <c r="C101" s="81"/>
      <c r="D101" s="81"/>
      <c r="E101" s="81"/>
      <c r="F101" s="81"/>
      <c r="G101" s="82"/>
      <c r="H101" s="93">
        <v>800</v>
      </c>
      <c r="I101" s="84"/>
      <c r="J101" s="93"/>
      <c r="K101" s="84"/>
      <c r="L101" s="27">
        <f>SUM(H99:K101)</f>
        <v>-600</v>
      </c>
    </row>
    <row r="102" spans="1:16" x14ac:dyDescent="0.3">
      <c r="A102" s="51" t="s">
        <v>528</v>
      </c>
      <c r="B102" s="92" t="s">
        <v>517</v>
      </c>
      <c r="C102" s="81"/>
      <c r="D102" s="81"/>
      <c r="E102" s="81"/>
      <c r="F102" s="81"/>
      <c r="G102" s="82"/>
      <c r="H102" s="93">
        <v>200</v>
      </c>
      <c r="I102" s="84"/>
      <c r="J102" s="93"/>
      <c r="K102" s="84"/>
    </row>
    <row r="103" spans="1:16" x14ac:dyDescent="0.3">
      <c r="A103" s="50" t="s">
        <v>529</v>
      </c>
      <c r="B103" s="77" t="s">
        <v>517</v>
      </c>
      <c r="C103" s="78"/>
      <c r="D103" s="78"/>
      <c r="E103" s="78"/>
      <c r="F103" s="78"/>
      <c r="G103" s="79"/>
      <c r="H103" s="98">
        <v>300</v>
      </c>
      <c r="I103" s="99"/>
      <c r="J103" s="98"/>
      <c r="K103" s="99"/>
      <c r="N103" s="1" t="s">
        <v>323</v>
      </c>
      <c r="P103" s="1" t="s">
        <v>324</v>
      </c>
    </row>
    <row r="104" spans="1:16" x14ac:dyDescent="0.3">
      <c r="A104" s="52"/>
      <c r="B104" s="95" t="s">
        <v>321</v>
      </c>
      <c r="C104" s="96"/>
      <c r="D104" s="96"/>
      <c r="E104" s="96"/>
      <c r="F104" s="96"/>
      <c r="G104" s="97"/>
      <c r="H104" s="100"/>
      <c r="I104" s="101"/>
      <c r="J104" s="100">
        <v>-200</v>
      </c>
      <c r="K104" s="101"/>
      <c r="L104" s="28" t="s">
        <v>179</v>
      </c>
      <c r="N104" s="5">
        <f>SUM(H97:K104)</f>
        <v>-1000</v>
      </c>
      <c r="P104" s="53">
        <f>SUM(L98+L101+H102)</f>
        <v>-1100</v>
      </c>
    </row>
    <row r="105" spans="1:16" x14ac:dyDescent="0.3">
      <c r="A105" s="50" t="s">
        <v>530</v>
      </c>
      <c r="B105" s="77" t="s">
        <v>517</v>
      </c>
      <c r="C105" s="78"/>
      <c r="D105" s="78"/>
      <c r="E105" s="78"/>
      <c r="F105" s="78"/>
      <c r="G105" s="79"/>
      <c r="H105" s="98">
        <v>1800</v>
      </c>
      <c r="I105" s="99"/>
      <c r="J105" s="98"/>
      <c r="K105" s="99"/>
      <c r="L105" s="54">
        <f>SUM(H104:K105)</f>
        <v>1600</v>
      </c>
    </row>
    <row r="106" spans="1:16" x14ac:dyDescent="0.3">
      <c r="A106" s="52"/>
      <c r="B106" s="95" t="s">
        <v>502</v>
      </c>
      <c r="C106" s="96"/>
      <c r="D106" s="96"/>
      <c r="E106" s="96"/>
      <c r="F106" s="96"/>
      <c r="G106" s="97"/>
      <c r="H106" s="100"/>
      <c r="I106" s="101"/>
      <c r="J106" s="100">
        <v>-300</v>
      </c>
      <c r="K106" s="101"/>
      <c r="L106" s="28" t="s">
        <v>179</v>
      </c>
    </row>
    <row r="107" spans="1:16" x14ac:dyDescent="0.3">
      <c r="A107" s="50" t="s">
        <v>531</v>
      </c>
      <c r="B107" s="77" t="s">
        <v>517</v>
      </c>
      <c r="C107" s="78"/>
      <c r="D107" s="78"/>
      <c r="E107" s="78"/>
      <c r="F107" s="78"/>
      <c r="G107" s="79"/>
      <c r="H107" s="98">
        <v>500</v>
      </c>
      <c r="I107" s="99"/>
      <c r="J107" s="98"/>
      <c r="K107" s="99"/>
      <c r="L107" s="54">
        <f>SUM(H106:K107)</f>
        <v>200</v>
      </c>
    </row>
    <row r="108" spans="1:16" x14ac:dyDescent="0.3">
      <c r="A108" s="52"/>
      <c r="B108" s="95" t="s">
        <v>532</v>
      </c>
      <c r="C108" s="96"/>
      <c r="D108" s="96"/>
      <c r="E108" s="96"/>
      <c r="F108" s="96"/>
      <c r="G108" s="97"/>
      <c r="H108" s="100">
        <v>200</v>
      </c>
      <c r="I108" s="101"/>
      <c r="J108" s="100"/>
      <c r="K108" s="101"/>
    </row>
    <row r="109" spans="1:16" x14ac:dyDescent="0.3">
      <c r="A109" s="50" t="s">
        <v>533</v>
      </c>
      <c r="B109" s="77" t="s">
        <v>517</v>
      </c>
      <c r="C109" s="78"/>
      <c r="D109" s="78"/>
      <c r="E109" s="78"/>
      <c r="F109" s="78"/>
      <c r="G109" s="79"/>
      <c r="H109" s="98">
        <v>200</v>
      </c>
      <c r="I109" s="99"/>
      <c r="J109" s="98"/>
      <c r="K109" s="99"/>
    </row>
    <row r="110" spans="1:16" x14ac:dyDescent="0.3">
      <c r="A110" s="52"/>
      <c r="B110" s="95" t="s">
        <v>502</v>
      </c>
      <c r="C110" s="96"/>
      <c r="D110" s="96"/>
      <c r="E110" s="96"/>
      <c r="F110" s="96"/>
      <c r="G110" s="97"/>
      <c r="H110" s="100"/>
      <c r="I110" s="101"/>
      <c r="J110" s="100">
        <v>-200</v>
      </c>
      <c r="K110" s="101"/>
    </row>
    <row r="111" spans="1:16" x14ac:dyDescent="0.3">
      <c r="A111" s="51" t="s">
        <v>534</v>
      </c>
      <c r="B111" s="92" t="s">
        <v>535</v>
      </c>
      <c r="C111" s="81"/>
      <c r="D111" s="81"/>
      <c r="E111" s="81"/>
      <c r="F111" s="81"/>
      <c r="G111" s="82"/>
      <c r="H111" s="93"/>
      <c r="I111" s="84"/>
      <c r="J111" s="93">
        <v>-1500</v>
      </c>
      <c r="K111" s="84"/>
      <c r="L111" s="30" t="s">
        <v>309</v>
      </c>
    </row>
    <row r="112" spans="1:16" x14ac:dyDescent="0.3">
      <c r="A112" s="50" t="s">
        <v>536</v>
      </c>
      <c r="B112" s="77" t="s">
        <v>517</v>
      </c>
      <c r="C112" s="78"/>
      <c r="D112" s="78"/>
      <c r="E112" s="78"/>
      <c r="F112" s="78"/>
      <c r="G112" s="79"/>
      <c r="H112" s="98">
        <v>1100</v>
      </c>
      <c r="I112" s="99"/>
      <c r="J112" s="98"/>
      <c r="K112" s="99"/>
      <c r="L112" s="54">
        <f>SUM(H110:K112)</f>
        <v>-600</v>
      </c>
    </row>
    <row r="113" spans="1:18" x14ac:dyDescent="0.3">
      <c r="A113" s="52"/>
      <c r="B113" s="95" t="s">
        <v>109</v>
      </c>
      <c r="C113" s="96"/>
      <c r="D113" s="96"/>
      <c r="E113" s="96"/>
      <c r="F113" s="96"/>
      <c r="G113" s="97"/>
      <c r="H113" s="100"/>
      <c r="I113" s="101"/>
      <c r="J113" s="100">
        <v>-800</v>
      </c>
      <c r="K113" s="101"/>
      <c r="L113" s="28" t="s">
        <v>179</v>
      </c>
    </row>
    <row r="114" spans="1:18" x14ac:dyDescent="0.3">
      <c r="A114" s="50" t="s">
        <v>537</v>
      </c>
      <c r="B114" s="77" t="s">
        <v>517</v>
      </c>
      <c r="C114" s="78"/>
      <c r="D114" s="78"/>
      <c r="E114" s="78"/>
      <c r="F114" s="78"/>
      <c r="G114" s="79"/>
      <c r="H114" s="98">
        <v>1200</v>
      </c>
      <c r="I114" s="99"/>
      <c r="J114" s="98"/>
      <c r="K114" s="99"/>
      <c r="L114" s="54">
        <f>SUM(H113:K114)</f>
        <v>400</v>
      </c>
      <c r="N114" s="1" t="s">
        <v>345</v>
      </c>
      <c r="P114" s="1" t="s">
        <v>346</v>
      </c>
      <c r="R114" s="22" t="s">
        <v>395</v>
      </c>
    </row>
    <row r="115" spans="1:18" ht="15" thickBot="1" x14ac:dyDescent="0.35">
      <c r="A115" s="59"/>
      <c r="B115" s="104" t="s">
        <v>109</v>
      </c>
      <c r="C115" s="75"/>
      <c r="D115" s="75"/>
      <c r="E115" s="75"/>
      <c r="F115" s="75"/>
      <c r="G115" s="105"/>
      <c r="H115" s="102"/>
      <c r="I115" s="103"/>
      <c r="J115" s="102">
        <v>-800</v>
      </c>
      <c r="K115" s="103"/>
      <c r="L115" s="28" t="s">
        <v>179</v>
      </c>
      <c r="N115" s="53">
        <f>SUM(H105:K115)</f>
        <v>1400</v>
      </c>
      <c r="P115" s="53">
        <f>SUM(L105:L114)</f>
        <v>1600</v>
      </c>
      <c r="R115" s="23">
        <f>SUM(P96:P115)</f>
        <v>-2800</v>
      </c>
    </row>
    <row r="116" spans="1:18" x14ac:dyDescent="0.3">
      <c r="A116" s="50" t="s">
        <v>538</v>
      </c>
      <c r="B116" s="77" t="s">
        <v>517</v>
      </c>
      <c r="C116" s="78"/>
      <c r="D116" s="78"/>
      <c r="E116" s="78"/>
      <c r="F116" s="78"/>
      <c r="G116" s="79"/>
      <c r="H116" s="98">
        <v>2600</v>
      </c>
      <c r="I116" s="99"/>
      <c r="J116" s="98"/>
      <c r="K116" s="99"/>
      <c r="L116" s="54">
        <f>SUM(H115:K116)</f>
        <v>1800</v>
      </c>
    </row>
    <row r="117" spans="1:18" x14ac:dyDescent="0.3">
      <c r="A117" s="52"/>
      <c r="B117" s="95" t="s">
        <v>109</v>
      </c>
      <c r="C117" s="96"/>
      <c r="D117" s="96"/>
      <c r="E117" s="96"/>
      <c r="F117" s="96"/>
      <c r="G117" s="97"/>
      <c r="H117" s="100"/>
      <c r="I117" s="101"/>
      <c r="J117" s="100">
        <v>-800</v>
      </c>
      <c r="K117" s="101"/>
    </row>
    <row r="118" spans="1:18" x14ac:dyDescent="0.3">
      <c r="A118" s="51" t="s">
        <v>539</v>
      </c>
      <c r="B118" s="92" t="s">
        <v>109</v>
      </c>
      <c r="C118" s="81"/>
      <c r="D118" s="81"/>
      <c r="E118" s="81"/>
      <c r="F118" s="81"/>
      <c r="G118" s="82"/>
      <c r="H118" s="93"/>
      <c r="I118" s="84"/>
      <c r="J118" s="93">
        <v>-400</v>
      </c>
      <c r="K118" s="84"/>
      <c r="L118" s="28" t="s">
        <v>179</v>
      </c>
    </row>
    <row r="119" spans="1:18" x14ac:dyDescent="0.3">
      <c r="A119" s="50" t="s">
        <v>540</v>
      </c>
      <c r="B119" s="77" t="s">
        <v>517</v>
      </c>
      <c r="C119" s="78"/>
      <c r="D119" s="78"/>
      <c r="E119" s="78"/>
      <c r="F119" s="78"/>
      <c r="G119" s="79"/>
      <c r="H119" s="98">
        <v>1700</v>
      </c>
      <c r="I119" s="99"/>
      <c r="J119" s="98"/>
      <c r="K119" s="99"/>
      <c r="L119" s="54">
        <f>SUM(H117:K119)</f>
        <v>500</v>
      </c>
    </row>
    <row r="120" spans="1:18" x14ac:dyDescent="0.3">
      <c r="A120" s="52"/>
      <c r="B120" s="95" t="s">
        <v>109</v>
      </c>
      <c r="C120" s="96"/>
      <c r="D120" s="96"/>
      <c r="E120" s="96"/>
      <c r="F120" s="96"/>
      <c r="G120" s="97"/>
      <c r="H120" s="100"/>
      <c r="I120" s="101"/>
      <c r="J120" s="100">
        <v>-1700</v>
      </c>
      <c r="K120" s="101"/>
    </row>
    <row r="121" spans="1:18" x14ac:dyDescent="0.3">
      <c r="A121" s="51" t="s">
        <v>541</v>
      </c>
      <c r="B121" s="92" t="s">
        <v>109</v>
      </c>
      <c r="C121" s="81"/>
      <c r="D121" s="81"/>
      <c r="E121" s="81"/>
      <c r="F121" s="81"/>
      <c r="G121" s="82"/>
      <c r="H121" s="93"/>
      <c r="I121" s="84"/>
      <c r="J121" s="93">
        <v>-400</v>
      </c>
      <c r="K121" s="84"/>
      <c r="L121" s="31" t="s">
        <v>512</v>
      </c>
    </row>
    <row r="122" spans="1:18" x14ac:dyDescent="0.3">
      <c r="A122" s="50" t="s">
        <v>542</v>
      </c>
      <c r="B122" s="77" t="s">
        <v>517</v>
      </c>
      <c r="C122" s="78"/>
      <c r="D122" s="78"/>
      <c r="E122" s="78"/>
      <c r="F122" s="78"/>
      <c r="G122" s="79"/>
      <c r="H122" s="98">
        <v>2100</v>
      </c>
      <c r="I122" s="99"/>
      <c r="J122" s="98"/>
      <c r="K122" s="99"/>
      <c r="L122" s="54">
        <f>SUM(H120:K122)</f>
        <v>0</v>
      </c>
    </row>
    <row r="123" spans="1:18" x14ac:dyDescent="0.3">
      <c r="A123" s="52"/>
      <c r="B123" s="95" t="s">
        <v>109</v>
      </c>
      <c r="C123" s="96"/>
      <c r="D123" s="96"/>
      <c r="E123" s="96"/>
      <c r="F123" s="96"/>
      <c r="G123" s="97"/>
      <c r="H123" s="100"/>
      <c r="I123" s="101"/>
      <c r="J123" s="100">
        <v>-1000</v>
      </c>
      <c r="K123" s="101"/>
    </row>
    <row r="124" spans="1:18" x14ac:dyDescent="0.3">
      <c r="A124" s="51" t="s">
        <v>543</v>
      </c>
      <c r="B124" s="92" t="s">
        <v>109</v>
      </c>
      <c r="C124" s="81"/>
      <c r="D124" s="81"/>
      <c r="E124" s="81"/>
      <c r="F124" s="81"/>
      <c r="G124" s="82"/>
      <c r="H124" s="93"/>
      <c r="I124" s="84"/>
      <c r="J124" s="93">
        <v>-400</v>
      </c>
      <c r="K124" s="84"/>
      <c r="L124" s="30" t="s">
        <v>309</v>
      </c>
    </row>
    <row r="125" spans="1:18" x14ac:dyDescent="0.3">
      <c r="A125" s="50" t="s">
        <v>544</v>
      </c>
      <c r="B125" s="77" t="s">
        <v>517</v>
      </c>
      <c r="C125" s="78"/>
      <c r="D125" s="78"/>
      <c r="E125" s="78"/>
      <c r="F125" s="78"/>
      <c r="G125" s="79"/>
      <c r="H125" s="98">
        <v>300</v>
      </c>
      <c r="I125" s="99"/>
      <c r="J125" s="98"/>
      <c r="K125" s="99"/>
      <c r="L125" s="54">
        <f>SUM(H123:K125)</f>
        <v>-1100</v>
      </c>
      <c r="N125" s="1" t="s">
        <v>355</v>
      </c>
      <c r="P125" s="1" t="s">
        <v>356</v>
      </c>
    </row>
    <row r="126" spans="1:18" x14ac:dyDescent="0.3">
      <c r="A126" s="52"/>
      <c r="B126" s="95" t="s">
        <v>109</v>
      </c>
      <c r="C126" s="96"/>
      <c r="D126" s="96"/>
      <c r="E126" s="96"/>
      <c r="F126" s="96"/>
      <c r="G126" s="97"/>
      <c r="H126" s="100"/>
      <c r="I126" s="101"/>
      <c r="J126" s="100">
        <v>-800</v>
      </c>
      <c r="K126" s="101"/>
      <c r="N126" s="53">
        <f>SUM(H116:K126)</f>
        <v>1200</v>
      </c>
      <c r="P126" s="53">
        <f>SUM(L116:L125)</f>
        <v>1200</v>
      </c>
    </row>
    <row r="127" spans="1:18" x14ac:dyDescent="0.3">
      <c r="A127" s="51" t="s">
        <v>545</v>
      </c>
      <c r="B127" s="92" t="s">
        <v>404</v>
      </c>
      <c r="C127" s="81"/>
      <c r="D127" s="81"/>
      <c r="E127" s="81"/>
      <c r="F127" s="81"/>
      <c r="G127" s="82"/>
      <c r="H127" s="93">
        <v>1000</v>
      </c>
      <c r="I127" s="84"/>
      <c r="J127" s="93"/>
      <c r="K127" s="84"/>
      <c r="L127" s="28" t="s">
        <v>179</v>
      </c>
    </row>
    <row r="128" spans="1:18" x14ac:dyDescent="0.3">
      <c r="A128" s="50" t="s">
        <v>546</v>
      </c>
      <c r="B128" s="77" t="s">
        <v>517</v>
      </c>
      <c r="C128" s="78"/>
      <c r="D128" s="78"/>
      <c r="E128" s="78"/>
      <c r="F128" s="78"/>
      <c r="G128" s="79"/>
      <c r="H128" s="98">
        <v>1000</v>
      </c>
      <c r="I128" s="99"/>
      <c r="J128" s="98"/>
      <c r="K128" s="99"/>
      <c r="L128" s="54">
        <f>SUM(H126:K128)</f>
        <v>1200</v>
      </c>
    </row>
    <row r="129" spans="1:16" x14ac:dyDescent="0.3">
      <c r="A129" s="52"/>
      <c r="B129" s="95" t="s">
        <v>109</v>
      </c>
      <c r="C129" s="96"/>
      <c r="D129" s="96"/>
      <c r="E129" s="96"/>
      <c r="F129" s="96"/>
      <c r="G129" s="97"/>
      <c r="H129" s="100"/>
      <c r="I129" s="101"/>
      <c r="J129" s="100">
        <v>-1000</v>
      </c>
      <c r="K129" s="101"/>
      <c r="L129" s="28" t="s">
        <v>179</v>
      </c>
    </row>
    <row r="130" spans="1:16" x14ac:dyDescent="0.3">
      <c r="A130" s="50" t="s">
        <v>547</v>
      </c>
      <c r="B130" s="77" t="s">
        <v>517</v>
      </c>
      <c r="C130" s="78"/>
      <c r="D130" s="78"/>
      <c r="E130" s="78"/>
      <c r="F130" s="78"/>
      <c r="G130" s="79"/>
      <c r="H130" s="98">
        <v>1600</v>
      </c>
      <c r="I130" s="99"/>
      <c r="J130" s="98"/>
      <c r="K130" s="99"/>
      <c r="L130" s="54">
        <f>SUM(H129:K130)</f>
        <v>600</v>
      </c>
    </row>
    <row r="131" spans="1:16" x14ac:dyDescent="0.3">
      <c r="A131" s="52"/>
      <c r="B131" s="95" t="s">
        <v>109</v>
      </c>
      <c r="C131" s="96"/>
      <c r="D131" s="96"/>
      <c r="E131" s="96"/>
      <c r="F131" s="96"/>
      <c r="G131" s="97"/>
      <c r="H131" s="100"/>
      <c r="I131" s="101"/>
      <c r="J131" s="100">
        <v>-300</v>
      </c>
      <c r="K131" s="101"/>
    </row>
    <row r="132" spans="1:16" x14ac:dyDescent="0.3">
      <c r="A132" s="51" t="s">
        <v>548</v>
      </c>
      <c r="B132" s="92" t="s">
        <v>109</v>
      </c>
      <c r="C132" s="81"/>
      <c r="D132" s="81"/>
      <c r="E132" s="81"/>
      <c r="F132" s="81"/>
      <c r="G132" s="82"/>
      <c r="H132" s="93"/>
      <c r="I132" s="84"/>
      <c r="J132" s="93">
        <v>-500</v>
      </c>
      <c r="K132" s="84"/>
      <c r="L132" s="30" t="s">
        <v>309</v>
      </c>
    </row>
    <row r="133" spans="1:16" x14ac:dyDescent="0.3">
      <c r="A133" s="50" t="s">
        <v>549</v>
      </c>
      <c r="B133" s="77" t="s">
        <v>517</v>
      </c>
      <c r="C133" s="78"/>
      <c r="D133" s="78"/>
      <c r="E133" s="78"/>
      <c r="F133" s="78"/>
      <c r="G133" s="79"/>
      <c r="H133" s="98">
        <v>400</v>
      </c>
      <c r="I133" s="99"/>
      <c r="J133" s="98"/>
      <c r="K133" s="99"/>
      <c r="L133" s="54">
        <f>SUM(H131:K133)</f>
        <v>-400</v>
      </c>
    </row>
    <row r="134" spans="1:16" x14ac:dyDescent="0.3">
      <c r="A134" s="52"/>
      <c r="B134" s="95" t="s">
        <v>109</v>
      </c>
      <c r="C134" s="96"/>
      <c r="D134" s="96"/>
      <c r="E134" s="96"/>
      <c r="F134" s="96"/>
      <c r="G134" s="97"/>
      <c r="H134" s="100"/>
      <c r="I134" s="101"/>
      <c r="J134" s="100">
        <v>-800</v>
      </c>
      <c r="K134" s="101"/>
      <c r="L134" s="28" t="s">
        <v>179</v>
      </c>
    </row>
    <row r="135" spans="1:16" x14ac:dyDescent="0.3">
      <c r="A135" s="50" t="s">
        <v>550</v>
      </c>
      <c r="B135" s="77" t="s">
        <v>517</v>
      </c>
      <c r="C135" s="78"/>
      <c r="D135" s="78"/>
      <c r="E135" s="78"/>
      <c r="F135" s="78"/>
      <c r="G135" s="79"/>
      <c r="H135" s="98">
        <v>900</v>
      </c>
      <c r="I135" s="99"/>
      <c r="J135" s="98"/>
      <c r="K135" s="99"/>
      <c r="L135" s="54">
        <f>SUM(H134:K135)</f>
        <v>100</v>
      </c>
      <c r="N135" s="1" t="s">
        <v>389</v>
      </c>
      <c r="P135" s="1" t="s">
        <v>390</v>
      </c>
    </row>
    <row r="136" spans="1:16" x14ac:dyDescent="0.3">
      <c r="A136" s="52"/>
      <c r="B136" s="95" t="s">
        <v>109</v>
      </c>
      <c r="C136" s="96"/>
      <c r="D136" s="96"/>
      <c r="E136" s="96"/>
      <c r="F136" s="96"/>
      <c r="G136" s="97"/>
      <c r="H136" s="100"/>
      <c r="I136" s="101"/>
      <c r="J136" s="100">
        <v>-800</v>
      </c>
      <c r="K136" s="101"/>
      <c r="L136" s="30" t="s">
        <v>309</v>
      </c>
      <c r="N136" s="53">
        <f>SUM(H127:K136)</f>
        <v>1500</v>
      </c>
      <c r="P136" s="53">
        <f>SUM(L128:L135)</f>
        <v>1500</v>
      </c>
    </row>
    <row r="137" spans="1:16" x14ac:dyDescent="0.3">
      <c r="A137" s="51" t="s">
        <v>551</v>
      </c>
      <c r="B137" s="92" t="s">
        <v>517</v>
      </c>
      <c r="C137" s="81"/>
      <c r="D137" s="81"/>
      <c r="E137" s="81"/>
      <c r="F137" s="81"/>
      <c r="G137" s="82"/>
      <c r="H137" s="93">
        <v>600</v>
      </c>
      <c r="I137" s="84"/>
      <c r="J137" s="93"/>
      <c r="K137" s="84"/>
      <c r="L137" s="54">
        <f>SUM(H136:K137)</f>
        <v>-200</v>
      </c>
    </row>
    <row r="138" spans="1:16" x14ac:dyDescent="0.3">
      <c r="A138" s="50" t="s">
        <v>552</v>
      </c>
      <c r="B138" s="77" t="s">
        <v>404</v>
      </c>
      <c r="C138" s="78"/>
      <c r="D138" s="78"/>
      <c r="E138" s="78"/>
      <c r="F138" s="78"/>
      <c r="G138" s="79"/>
      <c r="H138" s="98">
        <v>1000</v>
      </c>
      <c r="I138" s="99"/>
      <c r="J138" s="98"/>
      <c r="K138" s="99"/>
      <c r="L138" s="28" t="s">
        <v>179</v>
      </c>
    </row>
    <row r="139" spans="1:16" x14ac:dyDescent="0.3">
      <c r="A139" s="52"/>
      <c r="B139" s="95" t="s">
        <v>553</v>
      </c>
      <c r="C139" s="96"/>
      <c r="D139" s="96"/>
      <c r="E139" s="96"/>
      <c r="F139" s="96"/>
      <c r="G139" s="97"/>
      <c r="H139" s="100">
        <v>10000</v>
      </c>
      <c r="I139" s="101"/>
      <c r="J139" s="100"/>
      <c r="K139" s="101"/>
      <c r="L139" s="54">
        <f>SUM(H138:I139)</f>
        <v>11000</v>
      </c>
    </row>
    <row r="140" spans="1:16" x14ac:dyDescent="0.3">
      <c r="A140" s="51" t="s">
        <v>554</v>
      </c>
      <c r="B140" s="92" t="s">
        <v>109</v>
      </c>
      <c r="C140" s="81"/>
      <c r="D140" s="81"/>
      <c r="E140" s="81"/>
      <c r="F140" s="81"/>
      <c r="G140" s="82"/>
      <c r="H140" s="93"/>
      <c r="I140" s="84"/>
      <c r="J140" s="93">
        <v>-1300</v>
      </c>
      <c r="K140" s="84"/>
    </row>
    <row r="141" spans="1:16" x14ac:dyDescent="0.3">
      <c r="A141" s="51" t="s">
        <v>556</v>
      </c>
      <c r="B141" s="92" t="s">
        <v>109</v>
      </c>
      <c r="C141" s="81"/>
      <c r="D141" s="81"/>
      <c r="E141" s="81"/>
      <c r="F141" s="81"/>
      <c r="G141" s="82"/>
      <c r="H141" s="93"/>
      <c r="I141" s="84"/>
      <c r="J141" s="93">
        <v>-1000</v>
      </c>
      <c r="K141" s="84"/>
      <c r="L141" s="30" t="s">
        <v>309</v>
      </c>
    </row>
    <row r="142" spans="1:16" x14ac:dyDescent="0.3">
      <c r="A142" s="7" t="s">
        <v>555</v>
      </c>
      <c r="B142" s="92" t="s">
        <v>557</v>
      </c>
      <c r="C142" s="81"/>
      <c r="D142" s="81"/>
      <c r="E142" s="81"/>
      <c r="F142" s="81"/>
      <c r="G142" s="82"/>
      <c r="H142" s="93">
        <v>1500</v>
      </c>
      <c r="I142" s="84"/>
      <c r="J142" s="93"/>
      <c r="K142" s="84"/>
      <c r="L142" s="54">
        <f>SUM(H140:K142)</f>
        <v>-800</v>
      </c>
    </row>
    <row r="143" spans="1:16" x14ac:dyDescent="0.3">
      <c r="A143" s="7" t="s">
        <v>558</v>
      </c>
      <c r="B143" s="92" t="s">
        <v>559</v>
      </c>
      <c r="C143" s="81"/>
      <c r="D143" s="81"/>
      <c r="E143" s="81"/>
      <c r="F143" s="81"/>
      <c r="G143" s="82"/>
      <c r="H143" s="93"/>
      <c r="I143" s="84"/>
      <c r="J143" s="93">
        <v>-5000</v>
      </c>
      <c r="K143" s="84"/>
    </row>
    <row r="144" spans="1:16" x14ac:dyDescent="0.3">
      <c r="A144" s="7" t="s">
        <v>560</v>
      </c>
      <c r="B144" s="92" t="s">
        <v>236</v>
      </c>
      <c r="C144" s="81"/>
      <c r="D144" s="81"/>
      <c r="E144" s="81"/>
      <c r="F144" s="81"/>
      <c r="G144" s="82"/>
      <c r="H144" s="93"/>
      <c r="I144" s="84"/>
      <c r="J144" s="93">
        <v>-1500</v>
      </c>
      <c r="K144" s="84"/>
      <c r="L144" s="30" t="s">
        <v>309</v>
      </c>
    </row>
    <row r="145" spans="1:18" x14ac:dyDescent="0.3">
      <c r="A145" s="4" t="s">
        <v>561</v>
      </c>
      <c r="B145" s="77" t="s">
        <v>565</v>
      </c>
      <c r="C145" s="78"/>
      <c r="D145" s="78"/>
      <c r="E145" s="78"/>
      <c r="F145" s="78"/>
      <c r="G145" s="79"/>
      <c r="H145" s="98">
        <v>1200</v>
      </c>
      <c r="I145" s="99"/>
      <c r="J145" s="98"/>
      <c r="K145" s="99"/>
      <c r="L145" s="54">
        <f>SUM(H143:K145)</f>
        <v>-5300</v>
      </c>
    </row>
    <row r="146" spans="1:18" x14ac:dyDescent="0.3">
      <c r="A146" s="6"/>
      <c r="B146" s="95" t="s">
        <v>562</v>
      </c>
      <c r="C146" s="96"/>
      <c r="D146" s="96"/>
      <c r="E146" s="96"/>
      <c r="F146" s="96"/>
      <c r="G146" s="97"/>
      <c r="H146" s="100"/>
      <c r="I146" s="101"/>
      <c r="J146" s="100">
        <v>-150</v>
      </c>
      <c r="K146" s="101"/>
      <c r="N146" s="1" t="s">
        <v>392</v>
      </c>
      <c r="P146" s="1" t="s">
        <v>393</v>
      </c>
      <c r="R146" s="22" t="s">
        <v>396</v>
      </c>
    </row>
    <row r="147" spans="1:18" x14ac:dyDescent="0.3">
      <c r="A147" s="7" t="s">
        <v>563</v>
      </c>
      <c r="B147" s="81" t="s">
        <v>564</v>
      </c>
      <c r="C147" s="81"/>
      <c r="D147" s="81"/>
      <c r="E147" s="81"/>
      <c r="F147" s="81"/>
      <c r="G147" s="82"/>
      <c r="H147" s="83"/>
      <c r="I147" s="84"/>
      <c r="J147" s="83">
        <v>-1100</v>
      </c>
      <c r="K147" s="84"/>
      <c r="N147" s="53">
        <f>SUM(H137:K147)</f>
        <v>4250</v>
      </c>
      <c r="P147" s="53">
        <f>SUM(L137:L145)</f>
        <v>4700</v>
      </c>
      <c r="R147" s="60">
        <f>SUM(P126:P147)</f>
        <v>7400</v>
      </c>
    </row>
    <row r="150" spans="1:18" ht="15" thickBot="1" x14ac:dyDescent="0.35"/>
    <row r="151" spans="1:18" x14ac:dyDescent="0.3">
      <c r="A151" s="57" t="s">
        <v>563</v>
      </c>
      <c r="B151" s="85" t="s">
        <v>566</v>
      </c>
      <c r="C151" s="86"/>
      <c r="D151" s="86"/>
      <c r="E151" s="86"/>
      <c r="F151" s="86"/>
      <c r="G151" s="87"/>
      <c r="H151" s="88">
        <f>SUM(H4:I147)</f>
        <v>92120</v>
      </c>
      <c r="I151" s="89"/>
      <c r="J151" s="90"/>
      <c r="K151" s="91"/>
    </row>
    <row r="152" spans="1:18" x14ac:dyDescent="0.3">
      <c r="A152" s="58"/>
      <c r="B152" s="92" t="s">
        <v>163</v>
      </c>
      <c r="C152" s="81"/>
      <c r="D152" s="81"/>
      <c r="E152" s="81"/>
      <c r="F152" s="81"/>
      <c r="G152" s="82"/>
      <c r="H152" s="93"/>
      <c r="I152" s="84"/>
      <c r="J152" s="83">
        <f>SUM(J4:K147)</f>
        <v>-78670</v>
      </c>
      <c r="K152" s="94"/>
      <c r="N152" s="1" t="s">
        <v>567</v>
      </c>
      <c r="P152" s="1" t="s">
        <v>568</v>
      </c>
    </row>
    <row r="153" spans="1:18" ht="15" thickBot="1" x14ac:dyDescent="0.35">
      <c r="A153" s="55"/>
      <c r="B153" s="77"/>
      <c r="C153" s="78"/>
      <c r="D153" s="78"/>
      <c r="E153" s="78"/>
      <c r="F153" s="78"/>
      <c r="G153" s="79"/>
      <c r="H153" s="77"/>
      <c r="I153" s="79"/>
      <c r="J153" s="78"/>
      <c r="K153" s="80"/>
      <c r="N153" s="44">
        <f>SUM(N16:N147)</f>
        <v>13450</v>
      </c>
      <c r="P153" s="44">
        <f>SUM(P16:P147)</f>
        <v>18800</v>
      </c>
    </row>
    <row r="154" spans="1:18" ht="15.6" thickTop="1" thickBot="1" x14ac:dyDescent="0.35">
      <c r="A154" s="56"/>
      <c r="B154" s="71" t="s">
        <v>165</v>
      </c>
      <c r="C154" s="72"/>
      <c r="D154" s="72"/>
      <c r="E154" s="72"/>
      <c r="F154" s="72"/>
      <c r="G154" s="73"/>
      <c r="H154" s="74">
        <f>SUM(H151:K152)</f>
        <v>13450</v>
      </c>
      <c r="I154" s="73"/>
      <c r="J154" s="75"/>
      <c r="K154" s="76"/>
    </row>
  </sheetData>
  <mergeCells count="448">
    <mergeCell ref="B47:G47"/>
    <mergeCell ref="H47:I47"/>
    <mergeCell ref="J47:K47"/>
    <mergeCell ref="B92:G92"/>
    <mergeCell ref="B93:G93"/>
    <mergeCell ref="B94:G94"/>
    <mergeCell ref="B95:G95"/>
    <mergeCell ref="B96:G96"/>
    <mergeCell ref="B97:G97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H92:I92"/>
    <mergeCell ref="H93:I93"/>
    <mergeCell ref="H94:I94"/>
    <mergeCell ref="H95:I95"/>
    <mergeCell ref="H96:I96"/>
    <mergeCell ref="H97:I97"/>
    <mergeCell ref="B98:G98"/>
    <mergeCell ref="B99:G99"/>
    <mergeCell ref="B100:G100"/>
    <mergeCell ref="B83:G83"/>
    <mergeCell ref="B84:G84"/>
    <mergeCell ref="B85:G85"/>
    <mergeCell ref="B86:G86"/>
    <mergeCell ref="B87:G87"/>
    <mergeCell ref="B88:G88"/>
    <mergeCell ref="B89:G89"/>
    <mergeCell ref="B90:G90"/>
    <mergeCell ref="B91:G91"/>
    <mergeCell ref="H98:I98"/>
    <mergeCell ref="H99:I99"/>
    <mergeCell ref="H100:I100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74:I74"/>
    <mergeCell ref="H75:I75"/>
    <mergeCell ref="H77:I77"/>
    <mergeCell ref="H76:I76"/>
    <mergeCell ref="H78:I78"/>
    <mergeCell ref="H79:I79"/>
    <mergeCell ref="H80:I80"/>
    <mergeCell ref="H81:I81"/>
    <mergeCell ref="H82:I82"/>
    <mergeCell ref="J93:K93"/>
    <mergeCell ref="J94:K94"/>
    <mergeCell ref="J95:K95"/>
    <mergeCell ref="J97:K97"/>
    <mergeCell ref="J96:K96"/>
    <mergeCell ref="J98:K98"/>
    <mergeCell ref="J99:K99"/>
    <mergeCell ref="J100:K100"/>
    <mergeCell ref="J83:K83"/>
    <mergeCell ref="J84:K84"/>
    <mergeCell ref="J85:K85"/>
    <mergeCell ref="J86:K86"/>
    <mergeCell ref="J87:K87"/>
    <mergeCell ref="J88:K88"/>
    <mergeCell ref="J89:K89"/>
    <mergeCell ref="J91:K91"/>
    <mergeCell ref="J92:K92"/>
    <mergeCell ref="J90:K90"/>
    <mergeCell ref="J74:K74"/>
    <mergeCell ref="J75:K75"/>
    <mergeCell ref="J76:K76"/>
    <mergeCell ref="J77:K77"/>
    <mergeCell ref="J78:K78"/>
    <mergeCell ref="J80:K80"/>
    <mergeCell ref="J79:K79"/>
    <mergeCell ref="J81:K81"/>
    <mergeCell ref="J82:K82"/>
    <mergeCell ref="B48:G48"/>
    <mergeCell ref="J58:K58"/>
    <mergeCell ref="H58:I58"/>
    <mergeCell ref="B58:G58"/>
    <mergeCell ref="J59:K59"/>
    <mergeCell ref="H59:I59"/>
    <mergeCell ref="B59:G59"/>
    <mergeCell ref="J68:K68"/>
    <mergeCell ref="J69:K69"/>
    <mergeCell ref="J66:K66"/>
    <mergeCell ref="H55:I55"/>
    <mergeCell ref="H54:I54"/>
    <mergeCell ref="H53:I53"/>
    <mergeCell ref="H52:I52"/>
    <mergeCell ref="H51:I51"/>
    <mergeCell ref="H50:I50"/>
    <mergeCell ref="H49:I49"/>
    <mergeCell ref="H67:I67"/>
    <mergeCell ref="H68:I68"/>
    <mergeCell ref="H66:I66"/>
    <mergeCell ref="H65:I65"/>
    <mergeCell ref="H64:I64"/>
    <mergeCell ref="H63:I63"/>
    <mergeCell ref="H62:I62"/>
    <mergeCell ref="J70:K70"/>
    <mergeCell ref="J71:K71"/>
    <mergeCell ref="J72:K72"/>
    <mergeCell ref="J73:K73"/>
    <mergeCell ref="J48:K48"/>
    <mergeCell ref="H48:I48"/>
    <mergeCell ref="J56:K56"/>
    <mergeCell ref="J57:K57"/>
    <mergeCell ref="J60:K60"/>
    <mergeCell ref="J61:K61"/>
    <mergeCell ref="J62:K62"/>
    <mergeCell ref="J63:K63"/>
    <mergeCell ref="J64:K64"/>
    <mergeCell ref="J65:K65"/>
    <mergeCell ref="J67:K67"/>
    <mergeCell ref="J49:K49"/>
    <mergeCell ref="J50:K50"/>
    <mergeCell ref="J51:K51"/>
    <mergeCell ref="J52:K52"/>
    <mergeCell ref="J53:K53"/>
    <mergeCell ref="J54:K54"/>
    <mergeCell ref="J55:K55"/>
    <mergeCell ref="H57:I57"/>
    <mergeCell ref="H56:I56"/>
    <mergeCell ref="H61:I61"/>
    <mergeCell ref="H60:I60"/>
    <mergeCell ref="B68:G68"/>
    <mergeCell ref="B69:G69"/>
    <mergeCell ref="B70:G70"/>
    <mergeCell ref="B71:G71"/>
    <mergeCell ref="B72:G72"/>
    <mergeCell ref="B73:G73"/>
    <mergeCell ref="H73:I73"/>
    <mergeCell ref="H72:I72"/>
    <mergeCell ref="H69:I69"/>
    <mergeCell ref="H70:I70"/>
    <mergeCell ref="H71:I71"/>
    <mergeCell ref="B60:G60"/>
    <mergeCell ref="B61:G61"/>
    <mergeCell ref="B57:G57"/>
    <mergeCell ref="B62:G62"/>
    <mergeCell ref="B63:G63"/>
    <mergeCell ref="B64:G64"/>
    <mergeCell ref="B65:G65"/>
    <mergeCell ref="B66:G66"/>
    <mergeCell ref="B67:G67"/>
    <mergeCell ref="B50:G50"/>
    <mergeCell ref="B51:G51"/>
    <mergeCell ref="B49:G49"/>
    <mergeCell ref="B52:G52"/>
    <mergeCell ref="B53:G53"/>
    <mergeCell ref="B54:G54"/>
    <mergeCell ref="B55:G55"/>
    <mergeCell ref="B56:G56"/>
    <mergeCell ref="J5:K5"/>
    <mergeCell ref="H5:I5"/>
    <mergeCell ref="B31:G31"/>
    <mergeCell ref="B32:G32"/>
    <mergeCell ref="B34:G34"/>
    <mergeCell ref="B25:G25"/>
    <mergeCell ref="B26:G26"/>
    <mergeCell ref="B28:G28"/>
    <mergeCell ref="B27:G27"/>
    <mergeCell ref="B29:G29"/>
    <mergeCell ref="B30:G30"/>
    <mergeCell ref="B15:G15"/>
    <mergeCell ref="B22:G22"/>
    <mergeCell ref="B23:G23"/>
    <mergeCell ref="B24:G24"/>
    <mergeCell ref="H25:I25"/>
    <mergeCell ref="J25:K25"/>
    <mergeCell ref="J26:K26"/>
    <mergeCell ref="A1:K2"/>
    <mergeCell ref="B3:G3"/>
    <mergeCell ref="H3:I3"/>
    <mergeCell ref="J3:K3"/>
    <mergeCell ref="B4:G4"/>
    <mergeCell ref="H4:I4"/>
    <mergeCell ref="J4:K4"/>
    <mergeCell ref="B14:G14"/>
    <mergeCell ref="H14:I14"/>
    <mergeCell ref="J14:K14"/>
    <mergeCell ref="B10:G10"/>
    <mergeCell ref="B11:G11"/>
    <mergeCell ref="B12:G12"/>
    <mergeCell ref="B13:G13"/>
    <mergeCell ref="H8:I8"/>
    <mergeCell ref="J8:K8"/>
    <mergeCell ref="J9:K9"/>
    <mergeCell ref="H9:I9"/>
    <mergeCell ref="H11:I11"/>
    <mergeCell ref="J10:K10"/>
    <mergeCell ref="B5:G5"/>
    <mergeCell ref="B6:G6"/>
    <mergeCell ref="B7:G7"/>
    <mergeCell ref="B8:G8"/>
    <mergeCell ref="H26:I26"/>
    <mergeCell ref="H27:I27"/>
    <mergeCell ref="J27:K27"/>
    <mergeCell ref="J22:K22"/>
    <mergeCell ref="H22:I22"/>
    <mergeCell ref="H23:I23"/>
    <mergeCell ref="J23:K23"/>
    <mergeCell ref="J24:K24"/>
    <mergeCell ref="H24:I24"/>
    <mergeCell ref="B9:G9"/>
    <mergeCell ref="B16:G16"/>
    <mergeCell ref="B17:G17"/>
    <mergeCell ref="B18:G18"/>
    <mergeCell ref="B21:G21"/>
    <mergeCell ref="B20:G20"/>
    <mergeCell ref="B19:G19"/>
    <mergeCell ref="B45:G45"/>
    <mergeCell ref="B46:G46"/>
    <mergeCell ref="B44:G44"/>
    <mergeCell ref="B38:G38"/>
    <mergeCell ref="B33:G33"/>
    <mergeCell ref="B37:G37"/>
    <mergeCell ref="B39:G39"/>
    <mergeCell ref="B40:G40"/>
    <mergeCell ref="B42:G42"/>
    <mergeCell ref="B43:G43"/>
    <mergeCell ref="B35:G35"/>
    <mergeCell ref="B36:G36"/>
    <mergeCell ref="B41:G41"/>
    <mergeCell ref="J6:K6"/>
    <mergeCell ref="H6:I6"/>
    <mergeCell ref="H7:I7"/>
    <mergeCell ref="J7:K7"/>
    <mergeCell ref="H20:I20"/>
    <mergeCell ref="H21:I21"/>
    <mergeCell ref="H15:I15"/>
    <mergeCell ref="J13:K13"/>
    <mergeCell ref="J17:K17"/>
    <mergeCell ref="J16:K16"/>
    <mergeCell ref="J20:K20"/>
    <mergeCell ref="J21:K21"/>
    <mergeCell ref="J12:K12"/>
    <mergeCell ref="J15:K15"/>
    <mergeCell ref="J18:K18"/>
    <mergeCell ref="J19:K19"/>
    <mergeCell ref="H12:I12"/>
    <mergeCell ref="H13:I13"/>
    <mergeCell ref="H16:I16"/>
    <mergeCell ref="H17:I17"/>
    <mergeCell ref="H18:I18"/>
    <mergeCell ref="H19:I19"/>
    <mergeCell ref="J11:K11"/>
    <mergeCell ref="H10:I10"/>
    <mergeCell ref="H32:I32"/>
    <mergeCell ref="J32:K32"/>
    <mergeCell ref="H33:I33"/>
    <mergeCell ref="J33:K33"/>
    <mergeCell ref="J35:K35"/>
    <mergeCell ref="J34:K34"/>
    <mergeCell ref="H34:I34"/>
    <mergeCell ref="H35:I35"/>
    <mergeCell ref="J28:K28"/>
    <mergeCell ref="J29:K29"/>
    <mergeCell ref="J30:K30"/>
    <mergeCell ref="J31:K31"/>
    <mergeCell ref="H28:I28"/>
    <mergeCell ref="H29:I29"/>
    <mergeCell ref="H30:I30"/>
    <mergeCell ref="H31:I31"/>
    <mergeCell ref="J39:K39"/>
    <mergeCell ref="H39:I39"/>
    <mergeCell ref="H40:I40"/>
    <mergeCell ref="J42:K42"/>
    <mergeCell ref="H42:I42"/>
    <mergeCell ref="H36:I36"/>
    <mergeCell ref="J36:K36"/>
    <mergeCell ref="J37:K37"/>
    <mergeCell ref="H37:I37"/>
    <mergeCell ref="J38:K38"/>
    <mergeCell ref="H38:I38"/>
    <mergeCell ref="J46:K46"/>
    <mergeCell ref="H46:I46"/>
    <mergeCell ref="H43:I43"/>
    <mergeCell ref="J43:K43"/>
    <mergeCell ref="J44:K44"/>
    <mergeCell ref="H44:I44"/>
    <mergeCell ref="H45:I45"/>
    <mergeCell ref="J45:K45"/>
    <mergeCell ref="J40:K40"/>
    <mergeCell ref="H41:I41"/>
    <mergeCell ref="J41:K41"/>
    <mergeCell ref="B101:G101"/>
    <mergeCell ref="B102:G102"/>
    <mergeCell ref="B104:G104"/>
    <mergeCell ref="B103:G103"/>
    <mergeCell ref="B105:G105"/>
    <mergeCell ref="B106:G106"/>
    <mergeCell ref="B107:G107"/>
    <mergeCell ref="B108:G108"/>
    <mergeCell ref="B109:G109"/>
    <mergeCell ref="B120:G120"/>
    <mergeCell ref="B119:G119"/>
    <mergeCell ref="B121:G121"/>
    <mergeCell ref="B122:G122"/>
    <mergeCell ref="B123:G123"/>
    <mergeCell ref="B124:G124"/>
    <mergeCell ref="B125:G125"/>
    <mergeCell ref="B126:G126"/>
    <mergeCell ref="B110:G110"/>
    <mergeCell ref="B111:G111"/>
    <mergeCell ref="B112:G112"/>
    <mergeCell ref="B113:G113"/>
    <mergeCell ref="B114:G114"/>
    <mergeCell ref="B115:G115"/>
    <mergeCell ref="B116:G116"/>
    <mergeCell ref="B117:G117"/>
    <mergeCell ref="B118:G118"/>
    <mergeCell ref="B136:G136"/>
    <mergeCell ref="B137:G137"/>
    <mergeCell ref="B138:G138"/>
    <mergeCell ref="B140:G140"/>
    <mergeCell ref="B139:G139"/>
    <mergeCell ref="B141:G141"/>
    <mergeCell ref="B142:G142"/>
    <mergeCell ref="H142:I142"/>
    <mergeCell ref="B127:G127"/>
    <mergeCell ref="B128:G128"/>
    <mergeCell ref="B129:G129"/>
    <mergeCell ref="B130:G130"/>
    <mergeCell ref="B132:G132"/>
    <mergeCell ref="B133:G133"/>
    <mergeCell ref="B131:G131"/>
    <mergeCell ref="B134:G134"/>
    <mergeCell ref="B135:G135"/>
    <mergeCell ref="H132:I132"/>
    <mergeCell ref="J142:K142"/>
    <mergeCell ref="J141:K141"/>
    <mergeCell ref="H141:I141"/>
    <mergeCell ref="H140:I140"/>
    <mergeCell ref="J140:K140"/>
    <mergeCell ref="J139:K139"/>
    <mergeCell ref="H139:I139"/>
    <mergeCell ref="H138:I138"/>
    <mergeCell ref="J138:K138"/>
    <mergeCell ref="J137:K137"/>
    <mergeCell ref="H137:I137"/>
    <mergeCell ref="H136:I136"/>
    <mergeCell ref="J136:K136"/>
    <mergeCell ref="J135:K135"/>
    <mergeCell ref="H135:I135"/>
    <mergeCell ref="H134:I134"/>
    <mergeCell ref="J134:K134"/>
    <mergeCell ref="J133:K133"/>
    <mergeCell ref="H133:I133"/>
    <mergeCell ref="J132:K132"/>
    <mergeCell ref="J131:K131"/>
    <mergeCell ref="H131:I131"/>
    <mergeCell ref="H130:I130"/>
    <mergeCell ref="J130:K130"/>
    <mergeCell ref="J129:K129"/>
    <mergeCell ref="H129:I129"/>
    <mergeCell ref="H128:I128"/>
    <mergeCell ref="J128:K128"/>
    <mergeCell ref="J127:K127"/>
    <mergeCell ref="H127:I127"/>
    <mergeCell ref="H126:I126"/>
    <mergeCell ref="J126:K126"/>
    <mergeCell ref="J125:K125"/>
    <mergeCell ref="H125:I125"/>
    <mergeCell ref="H124:I124"/>
    <mergeCell ref="J124:K124"/>
    <mergeCell ref="J123:K123"/>
    <mergeCell ref="H123:I123"/>
    <mergeCell ref="H122:I122"/>
    <mergeCell ref="J122:K122"/>
    <mergeCell ref="J121:K121"/>
    <mergeCell ref="H121:I121"/>
    <mergeCell ref="H120:I120"/>
    <mergeCell ref="J120:K120"/>
    <mergeCell ref="J119:K119"/>
    <mergeCell ref="H119:I119"/>
    <mergeCell ref="H118:I118"/>
    <mergeCell ref="J118:K118"/>
    <mergeCell ref="J117:K117"/>
    <mergeCell ref="H117:I117"/>
    <mergeCell ref="H116:I116"/>
    <mergeCell ref="J116:K116"/>
    <mergeCell ref="J115:K115"/>
    <mergeCell ref="H115:I115"/>
    <mergeCell ref="H114:I114"/>
    <mergeCell ref="J114:K114"/>
    <mergeCell ref="J113:K113"/>
    <mergeCell ref="H113:I113"/>
    <mergeCell ref="J103:K103"/>
    <mergeCell ref="H103:I103"/>
    <mergeCell ref="H112:I112"/>
    <mergeCell ref="J112:K112"/>
    <mergeCell ref="J111:K111"/>
    <mergeCell ref="H111:I111"/>
    <mergeCell ref="H110:I110"/>
    <mergeCell ref="J110:K110"/>
    <mergeCell ref="J109:K109"/>
    <mergeCell ref="H109:I109"/>
    <mergeCell ref="H108:I108"/>
    <mergeCell ref="J108:K108"/>
    <mergeCell ref="H102:I102"/>
    <mergeCell ref="J102:K102"/>
    <mergeCell ref="J101:K101"/>
    <mergeCell ref="H101:I101"/>
    <mergeCell ref="B143:G143"/>
    <mergeCell ref="B144:G144"/>
    <mergeCell ref="B145:G145"/>
    <mergeCell ref="B146:G146"/>
    <mergeCell ref="H143:I143"/>
    <mergeCell ref="H144:I144"/>
    <mergeCell ref="H145:I145"/>
    <mergeCell ref="H146:I146"/>
    <mergeCell ref="J146:K146"/>
    <mergeCell ref="J145:K145"/>
    <mergeCell ref="J144:K144"/>
    <mergeCell ref="J143:K143"/>
    <mergeCell ref="J107:K107"/>
    <mergeCell ref="H107:I107"/>
    <mergeCell ref="H106:I106"/>
    <mergeCell ref="J106:K106"/>
    <mergeCell ref="J105:K105"/>
    <mergeCell ref="H105:I105"/>
    <mergeCell ref="H104:I104"/>
    <mergeCell ref="J104:K104"/>
    <mergeCell ref="B154:G154"/>
    <mergeCell ref="H154:I154"/>
    <mergeCell ref="J154:K154"/>
    <mergeCell ref="B153:G153"/>
    <mergeCell ref="H153:I153"/>
    <mergeCell ref="J153:K153"/>
    <mergeCell ref="B147:G147"/>
    <mergeCell ref="H147:I147"/>
    <mergeCell ref="J147:K147"/>
    <mergeCell ref="B151:G151"/>
    <mergeCell ref="H151:I151"/>
    <mergeCell ref="J151:K151"/>
    <mergeCell ref="B152:G152"/>
    <mergeCell ref="H152:I152"/>
    <mergeCell ref="J152:K152"/>
  </mergeCells>
  <conditionalFormatting sqref="H4:K14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6:P14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9:R1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{204649AE-F861-4B71-984A-60EB8E6707BE}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4649AE-F861-4B71-984A-60EB8E6707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R39:R147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2218-5EFC-4319-8CAA-47C91F849383}">
  <dimension ref="A1:E150"/>
  <sheetViews>
    <sheetView topLeftCell="A88" workbookViewId="0">
      <selection activeCell="A108" sqref="A108"/>
    </sheetView>
  </sheetViews>
  <sheetFormatPr defaultRowHeight="14.4" x14ac:dyDescent="0.3"/>
  <cols>
    <col min="1" max="1" width="8.88671875" style="49" customWidth="1"/>
    <col min="2" max="2" width="53.21875" customWidth="1"/>
    <col min="3" max="3" width="20.109375" style="53" customWidth="1"/>
    <col min="4" max="4" width="18.44140625" style="53" customWidth="1"/>
    <col min="5" max="5" width="16.88671875" customWidth="1"/>
  </cols>
  <sheetData>
    <row r="1" spans="1:5" ht="29.4" customHeight="1" x14ac:dyDescent="0.5">
      <c r="A1" s="176" t="s">
        <v>570</v>
      </c>
      <c r="B1" s="177"/>
      <c r="C1" s="177"/>
      <c r="D1" s="177"/>
    </row>
    <row r="2" spans="1:5" ht="28.8" customHeight="1" x14ac:dyDescent="0.3">
      <c r="A2" s="65" t="s">
        <v>0</v>
      </c>
      <c r="B2" s="63" t="s">
        <v>1</v>
      </c>
      <c r="C2" s="64" t="s">
        <v>400</v>
      </c>
      <c r="D2" s="64" t="s">
        <v>571</v>
      </c>
    </row>
    <row r="3" spans="1:5" x14ac:dyDescent="0.3">
      <c r="A3" s="4" t="s">
        <v>573</v>
      </c>
      <c r="B3" s="61" t="s">
        <v>572</v>
      </c>
      <c r="C3" s="62"/>
      <c r="D3" s="62">
        <v>-100</v>
      </c>
    </row>
    <row r="4" spans="1:5" x14ac:dyDescent="0.3">
      <c r="A4" s="4" t="s">
        <v>574</v>
      </c>
      <c r="B4" s="61" t="s">
        <v>109</v>
      </c>
      <c r="C4" s="62"/>
      <c r="D4" s="62">
        <v>-800</v>
      </c>
    </row>
    <row r="5" spans="1:5" x14ac:dyDescent="0.3">
      <c r="A5" s="4" t="s">
        <v>575</v>
      </c>
      <c r="B5" s="61" t="s">
        <v>404</v>
      </c>
      <c r="C5" s="62">
        <v>500</v>
      </c>
      <c r="D5" s="62"/>
      <c r="E5" s="28" t="s">
        <v>179</v>
      </c>
    </row>
    <row r="6" spans="1:5" x14ac:dyDescent="0.3">
      <c r="A6" s="4" t="s">
        <v>576</v>
      </c>
      <c r="B6" s="66" t="s">
        <v>577</v>
      </c>
      <c r="C6" s="67">
        <v>600</v>
      </c>
      <c r="D6" s="67"/>
      <c r="E6" s="54">
        <f>SUM(C3:D6)</f>
        <v>200</v>
      </c>
    </row>
    <row r="7" spans="1:5" x14ac:dyDescent="0.3">
      <c r="A7" s="4"/>
      <c r="B7" s="61" t="s">
        <v>109</v>
      </c>
      <c r="C7" s="62"/>
      <c r="D7" s="62">
        <v>-800</v>
      </c>
    </row>
    <row r="8" spans="1:5" x14ac:dyDescent="0.3">
      <c r="A8" s="4" t="s">
        <v>578</v>
      </c>
      <c r="B8" s="61" t="s">
        <v>109</v>
      </c>
      <c r="C8" s="62"/>
      <c r="D8" s="62">
        <v>-300</v>
      </c>
    </row>
    <row r="9" spans="1:5" x14ac:dyDescent="0.3">
      <c r="A9" s="4" t="s">
        <v>579</v>
      </c>
      <c r="B9" s="61" t="s">
        <v>404</v>
      </c>
      <c r="C9" s="62">
        <v>500</v>
      </c>
      <c r="D9" s="62"/>
    </row>
    <row r="10" spans="1:5" x14ac:dyDescent="0.3">
      <c r="A10" s="4" t="s">
        <v>580</v>
      </c>
      <c r="B10" s="61" t="s">
        <v>581</v>
      </c>
      <c r="C10" s="62"/>
      <c r="D10" s="62">
        <v>-300</v>
      </c>
      <c r="E10" s="30" t="s">
        <v>309</v>
      </c>
    </row>
    <row r="11" spans="1:5" x14ac:dyDescent="0.3">
      <c r="A11" s="4" t="s">
        <v>582</v>
      </c>
      <c r="B11" s="66" t="s">
        <v>517</v>
      </c>
      <c r="C11" s="67">
        <v>200</v>
      </c>
      <c r="D11" s="67"/>
      <c r="E11" s="54">
        <f>SUM(C7:D11)</f>
        <v>-700</v>
      </c>
    </row>
    <row r="12" spans="1:5" x14ac:dyDescent="0.3">
      <c r="A12" s="4"/>
      <c r="B12" s="61" t="s">
        <v>583</v>
      </c>
      <c r="C12" s="62"/>
      <c r="D12" s="62">
        <v>-300</v>
      </c>
    </row>
    <row r="13" spans="1:5" x14ac:dyDescent="0.3">
      <c r="A13" s="6" t="s">
        <v>584</v>
      </c>
      <c r="B13" s="66" t="s">
        <v>109</v>
      </c>
      <c r="C13" s="67"/>
      <c r="D13" s="67">
        <v>-800</v>
      </c>
      <c r="E13" s="28" t="s">
        <v>179</v>
      </c>
    </row>
    <row r="14" spans="1:5" x14ac:dyDescent="0.3">
      <c r="A14" s="4" t="s">
        <v>585</v>
      </c>
      <c r="B14" s="68" t="s">
        <v>517</v>
      </c>
      <c r="C14" s="69">
        <v>1100</v>
      </c>
      <c r="D14" s="69"/>
      <c r="E14" s="54">
        <f>SUM(C13:D14)</f>
        <v>300</v>
      </c>
    </row>
    <row r="15" spans="1:5" x14ac:dyDescent="0.3">
      <c r="A15" s="4"/>
      <c r="B15" s="61" t="s">
        <v>109</v>
      </c>
      <c r="C15" s="62"/>
      <c r="D15" s="62">
        <v>-800</v>
      </c>
      <c r="E15" s="30" t="s">
        <v>309</v>
      </c>
    </row>
    <row r="16" spans="1:5" x14ac:dyDescent="0.3">
      <c r="A16" s="4" t="s">
        <v>586</v>
      </c>
      <c r="B16" s="66" t="s">
        <v>517</v>
      </c>
      <c r="C16" s="67">
        <v>400</v>
      </c>
      <c r="D16" s="67"/>
      <c r="E16" s="54">
        <f>SUM(C15:D16)</f>
        <v>-400</v>
      </c>
    </row>
    <row r="17" spans="1:5" x14ac:dyDescent="0.3">
      <c r="A17" s="4"/>
      <c r="B17" s="61" t="s">
        <v>109</v>
      </c>
      <c r="C17" s="62"/>
      <c r="D17" s="62">
        <v>-800</v>
      </c>
    </row>
    <row r="18" spans="1:5" x14ac:dyDescent="0.3">
      <c r="A18" s="4" t="s">
        <v>587</v>
      </c>
      <c r="B18" s="61" t="s">
        <v>426</v>
      </c>
      <c r="C18" s="62">
        <v>2000</v>
      </c>
      <c r="D18" s="62"/>
    </row>
    <row r="19" spans="1:5" x14ac:dyDescent="0.3">
      <c r="A19" s="4" t="s">
        <v>588</v>
      </c>
      <c r="B19" s="66" t="s">
        <v>517</v>
      </c>
      <c r="C19" s="67">
        <v>900</v>
      </c>
      <c r="D19" s="67"/>
    </row>
    <row r="20" spans="1:5" x14ac:dyDescent="0.3">
      <c r="A20" s="4"/>
      <c r="B20" s="61" t="s">
        <v>109</v>
      </c>
      <c r="C20" s="62"/>
      <c r="D20" s="62">
        <v>-800</v>
      </c>
      <c r="E20" s="31" t="s">
        <v>590</v>
      </c>
    </row>
    <row r="21" spans="1:5" x14ac:dyDescent="0.3">
      <c r="A21" s="4" t="s">
        <v>589</v>
      </c>
      <c r="B21" s="66" t="s">
        <v>517</v>
      </c>
      <c r="C21" s="67">
        <v>800</v>
      </c>
      <c r="D21" s="67"/>
      <c r="E21" s="54">
        <f>SUM(C20:D21)</f>
        <v>0</v>
      </c>
    </row>
    <row r="22" spans="1:5" x14ac:dyDescent="0.3">
      <c r="A22" s="4"/>
      <c r="B22" s="61" t="s">
        <v>109</v>
      </c>
      <c r="C22" s="62"/>
      <c r="D22" s="62">
        <v>-800</v>
      </c>
    </row>
    <row r="23" spans="1:5" x14ac:dyDescent="0.3">
      <c r="A23" s="6" t="s">
        <v>591</v>
      </c>
      <c r="B23" s="66" t="s">
        <v>592</v>
      </c>
      <c r="C23" s="67"/>
      <c r="D23" s="67">
        <v>-5000</v>
      </c>
      <c r="E23" s="30" t="s">
        <v>309</v>
      </c>
    </row>
    <row r="24" spans="1:5" x14ac:dyDescent="0.3">
      <c r="A24" s="4" t="s">
        <v>593</v>
      </c>
      <c r="B24" s="68" t="s">
        <v>517</v>
      </c>
      <c r="C24" s="69">
        <v>1100</v>
      </c>
      <c r="D24" s="69"/>
      <c r="E24" s="54">
        <f>SUM(C22:D24)</f>
        <v>-4700</v>
      </c>
    </row>
    <row r="25" spans="1:5" x14ac:dyDescent="0.3">
      <c r="A25" s="4"/>
      <c r="B25" s="61" t="s">
        <v>109</v>
      </c>
      <c r="C25" s="62"/>
      <c r="D25" s="62">
        <v>-800</v>
      </c>
      <c r="E25" s="28" t="s">
        <v>179</v>
      </c>
    </row>
    <row r="26" spans="1:5" x14ac:dyDescent="0.3">
      <c r="A26" s="4" t="s">
        <v>594</v>
      </c>
      <c r="B26" s="66" t="s">
        <v>517</v>
      </c>
      <c r="C26" s="67">
        <v>1100</v>
      </c>
      <c r="D26" s="67"/>
      <c r="E26" s="54">
        <f>SUM(C25:D26)</f>
        <v>300</v>
      </c>
    </row>
    <row r="27" spans="1:5" x14ac:dyDescent="0.3">
      <c r="A27" s="4"/>
      <c r="B27" s="61" t="s">
        <v>109</v>
      </c>
      <c r="C27" s="62"/>
      <c r="D27" s="62">
        <v>-800</v>
      </c>
      <c r="E27" s="28" t="s">
        <v>179</v>
      </c>
    </row>
    <row r="28" spans="1:5" x14ac:dyDescent="0.3">
      <c r="A28" s="4" t="s">
        <v>595</v>
      </c>
      <c r="B28" s="66" t="s">
        <v>517</v>
      </c>
      <c r="C28" s="67">
        <v>1000</v>
      </c>
      <c r="D28" s="67"/>
      <c r="E28" s="54">
        <f>SUM(C27:D28)</f>
        <v>200</v>
      </c>
    </row>
    <row r="29" spans="1:5" x14ac:dyDescent="0.3">
      <c r="A29" s="4"/>
      <c r="B29" s="61" t="s">
        <v>109</v>
      </c>
      <c r="C29" s="62"/>
      <c r="D29" s="62">
        <v>-800</v>
      </c>
    </row>
    <row r="30" spans="1:5" x14ac:dyDescent="0.3">
      <c r="A30" s="4" t="s">
        <v>596</v>
      </c>
      <c r="B30" s="61" t="s">
        <v>109</v>
      </c>
      <c r="C30" s="62"/>
      <c r="D30" s="62">
        <v>-300</v>
      </c>
      <c r="E30" s="30" t="s">
        <v>309</v>
      </c>
    </row>
    <row r="31" spans="1:5" x14ac:dyDescent="0.3">
      <c r="A31" s="4" t="s">
        <v>597</v>
      </c>
      <c r="B31" s="66" t="s">
        <v>517</v>
      </c>
      <c r="C31" s="67">
        <v>800</v>
      </c>
      <c r="D31" s="67"/>
      <c r="E31" s="54">
        <f>SUM(C29:D31)</f>
        <v>-300</v>
      </c>
    </row>
    <row r="32" spans="1:5" x14ac:dyDescent="0.3">
      <c r="A32" s="4"/>
      <c r="B32" s="61" t="s">
        <v>523</v>
      </c>
      <c r="C32" s="62"/>
      <c r="D32" s="62">
        <v>-800</v>
      </c>
    </row>
    <row r="33" spans="1:5" x14ac:dyDescent="0.3">
      <c r="A33" s="4" t="s">
        <v>598</v>
      </c>
      <c r="B33" s="61" t="s">
        <v>109</v>
      </c>
      <c r="C33" s="62"/>
      <c r="D33" s="62">
        <v>-400</v>
      </c>
      <c r="E33" s="30" t="s">
        <v>309</v>
      </c>
    </row>
    <row r="34" spans="1:5" x14ac:dyDescent="0.3">
      <c r="A34" s="4" t="s">
        <v>599</v>
      </c>
      <c r="B34" s="66" t="s">
        <v>517</v>
      </c>
      <c r="C34" s="67">
        <v>600</v>
      </c>
      <c r="D34" s="67"/>
      <c r="E34" s="54">
        <f>SUM(C32:D34)</f>
        <v>-600</v>
      </c>
    </row>
    <row r="35" spans="1:5" x14ac:dyDescent="0.3">
      <c r="A35" s="6"/>
      <c r="B35" s="66" t="s">
        <v>109</v>
      </c>
      <c r="C35" s="67"/>
      <c r="D35" s="67">
        <v>-1200</v>
      </c>
    </row>
    <row r="36" spans="1:5" x14ac:dyDescent="0.3">
      <c r="A36" s="4" t="s">
        <v>600</v>
      </c>
      <c r="B36" s="61" t="s">
        <v>426</v>
      </c>
      <c r="C36" s="62">
        <v>1500</v>
      </c>
      <c r="D36" s="62"/>
      <c r="E36" s="28" t="s">
        <v>179</v>
      </c>
    </row>
    <row r="37" spans="1:5" x14ac:dyDescent="0.3">
      <c r="A37" s="4" t="s">
        <v>601</v>
      </c>
      <c r="B37" s="66" t="s">
        <v>517</v>
      </c>
      <c r="C37" s="67">
        <v>2000</v>
      </c>
      <c r="D37" s="67"/>
      <c r="E37" s="54">
        <f>SUM(C35:D37)</f>
        <v>2300</v>
      </c>
    </row>
    <row r="38" spans="1:5" x14ac:dyDescent="0.3">
      <c r="A38" s="4"/>
      <c r="B38" s="61" t="s">
        <v>109</v>
      </c>
      <c r="C38" s="62"/>
      <c r="D38" s="62">
        <v>-2000</v>
      </c>
    </row>
    <row r="39" spans="1:5" x14ac:dyDescent="0.3">
      <c r="A39" s="4" t="s">
        <v>602</v>
      </c>
      <c r="B39" s="61" t="s">
        <v>603</v>
      </c>
      <c r="C39" s="62"/>
      <c r="D39" s="62">
        <v>-1000</v>
      </c>
      <c r="E39" s="30" t="s">
        <v>309</v>
      </c>
    </row>
    <row r="40" spans="1:5" x14ac:dyDescent="0.3">
      <c r="A40" s="4" t="s">
        <v>604</v>
      </c>
      <c r="B40" s="66" t="s">
        <v>517</v>
      </c>
      <c r="C40" s="67">
        <v>1300</v>
      </c>
      <c r="D40" s="67"/>
      <c r="E40" s="54">
        <f>SUM(C38:D40)</f>
        <v>-1700</v>
      </c>
    </row>
    <row r="41" spans="1:5" x14ac:dyDescent="0.3">
      <c r="A41" s="4"/>
      <c r="B41" s="61" t="s">
        <v>605</v>
      </c>
      <c r="C41" s="62">
        <v>500</v>
      </c>
      <c r="D41" s="62"/>
    </row>
    <row r="42" spans="1:5" x14ac:dyDescent="0.3">
      <c r="A42" s="4" t="s">
        <v>606</v>
      </c>
      <c r="B42" s="61" t="s">
        <v>607</v>
      </c>
      <c r="C42" s="62"/>
      <c r="D42" s="62">
        <v>-1100</v>
      </c>
      <c r="E42" s="30" t="s">
        <v>309</v>
      </c>
    </row>
    <row r="43" spans="1:5" x14ac:dyDescent="0.3">
      <c r="A43" s="4" t="s">
        <v>608</v>
      </c>
      <c r="B43" s="66" t="s">
        <v>122</v>
      </c>
      <c r="C43" s="67"/>
      <c r="D43" s="67"/>
      <c r="E43" s="54">
        <f>SUM(C41:D43)</f>
        <v>-600</v>
      </c>
    </row>
    <row r="44" spans="1:5" x14ac:dyDescent="0.3">
      <c r="A44" s="4" t="s">
        <v>609</v>
      </c>
      <c r="B44" s="61" t="s">
        <v>109</v>
      </c>
      <c r="C44" s="62"/>
      <c r="D44" s="62">
        <v>-1200</v>
      </c>
    </row>
    <row r="45" spans="1:5" x14ac:dyDescent="0.3">
      <c r="A45" s="4" t="s">
        <v>610</v>
      </c>
      <c r="B45" s="61" t="s">
        <v>611</v>
      </c>
      <c r="C45" s="62">
        <v>1000</v>
      </c>
      <c r="D45" s="62"/>
      <c r="E45" s="28" t="s">
        <v>179</v>
      </c>
    </row>
    <row r="46" spans="1:5" x14ac:dyDescent="0.3">
      <c r="A46" s="4" t="s">
        <v>612</v>
      </c>
      <c r="B46" s="66" t="s">
        <v>517</v>
      </c>
      <c r="C46" s="67">
        <v>2200</v>
      </c>
      <c r="D46" s="67"/>
      <c r="E46" s="54">
        <f>SUM(C44:D46)</f>
        <v>2000</v>
      </c>
    </row>
    <row r="47" spans="1:5" x14ac:dyDescent="0.3">
      <c r="A47" s="4"/>
      <c r="B47" s="61" t="s">
        <v>109</v>
      </c>
      <c r="C47" s="62"/>
      <c r="D47" s="62">
        <v>-2200</v>
      </c>
    </row>
    <row r="48" spans="1:5" x14ac:dyDescent="0.3">
      <c r="A48" s="6" t="s">
        <v>613</v>
      </c>
      <c r="B48" s="66" t="s">
        <v>614</v>
      </c>
      <c r="C48" s="67"/>
      <c r="D48" s="67">
        <v>-13000</v>
      </c>
      <c r="E48" s="70" t="s">
        <v>309</v>
      </c>
    </row>
    <row r="49" spans="1:5" x14ac:dyDescent="0.3">
      <c r="A49" s="4" t="s">
        <v>615</v>
      </c>
      <c r="B49" s="68" t="s">
        <v>517</v>
      </c>
      <c r="C49" s="69">
        <v>3400</v>
      </c>
      <c r="D49" s="69"/>
      <c r="E49" s="54">
        <f>SUM(C47:D49)</f>
        <v>-11800</v>
      </c>
    </row>
    <row r="50" spans="1:5" x14ac:dyDescent="0.3">
      <c r="A50" s="4"/>
      <c r="B50" s="61" t="s">
        <v>617</v>
      </c>
      <c r="C50" s="62"/>
      <c r="D50" s="62">
        <v>-3400</v>
      </c>
    </row>
    <row r="51" spans="1:5" x14ac:dyDescent="0.3">
      <c r="A51" s="4" t="s">
        <v>616</v>
      </c>
      <c r="B51" s="61" t="s">
        <v>618</v>
      </c>
      <c r="C51" s="62"/>
      <c r="D51" s="62">
        <v>-1500</v>
      </c>
      <c r="E51" s="30" t="s">
        <v>309</v>
      </c>
    </row>
    <row r="52" spans="1:5" x14ac:dyDescent="0.3">
      <c r="A52" s="4" t="s">
        <v>619</v>
      </c>
      <c r="B52" s="66" t="s">
        <v>517</v>
      </c>
      <c r="C52" s="67">
        <v>1200</v>
      </c>
      <c r="D52" s="67"/>
      <c r="E52" s="54">
        <f>SUM(C50:D52)</f>
        <v>-3700</v>
      </c>
    </row>
    <row r="53" spans="1:5" x14ac:dyDescent="0.3">
      <c r="A53" s="4"/>
      <c r="B53" s="61" t="s">
        <v>620</v>
      </c>
      <c r="C53" s="62"/>
      <c r="D53" s="62">
        <v>-1200</v>
      </c>
      <c r="E53" s="31" t="s">
        <v>590</v>
      </c>
    </row>
    <row r="54" spans="1:5" x14ac:dyDescent="0.3">
      <c r="A54" s="4" t="s">
        <v>621</v>
      </c>
      <c r="B54" s="66" t="s">
        <v>517</v>
      </c>
      <c r="C54" s="67">
        <v>1200</v>
      </c>
      <c r="D54" s="67"/>
      <c r="E54" s="54">
        <f>SUM(C53:D54)</f>
        <v>0</v>
      </c>
    </row>
    <row r="55" spans="1:5" x14ac:dyDescent="0.3">
      <c r="A55" s="4"/>
      <c r="B55" s="61" t="s">
        <v>620</v>
      </c>
      <c r="C55" s="62"/>
      <c r="D55" s="62">
        <v>-700</v>
      </c>
    </row>
    <row r="56" spans="1:5" x14ac:dyDescent="0.3">
      <c r="A56" s="4" t="s">
        <v>622</v>
      </c>
      <c r="B56" s="61" t="s">
        <v>623</v>
      </c>
      <c r="C56" s="62">
        <v>10000</v>
      </c>
      <c r="D56" s="62"/>
      <c r="E56" s="28" t="s">
        <v>179</v>
      </c>
    </row>
    <row r="57" spans="1:5" x14ac:dyDescent="0.3">
      <c r="A57" s="4" t="s">
        <v>624</v>
      </c>
      <c r="B57" s="66" t="s">
        <v>517</v>
      </c>
      <c r="C57" s="67">
        <v>600</v>
      </c>
      <c r="D57" s="67"/>
      <c r="E57" s="54">
        <f>SUM(C55:D57)</f>
        <v>9900</v>
      </c>
    </row>
    <row r="58" spans="1:5" x14ac:dyDescent="0.3">
      <c r="A58" s="6"/>
      <c r="B58" s="66" t="s">
        <v>620</v>
      </c>
      <c r="C58" s="67"/>
      <c r="D58" s="67">
        <v>-600</v>
      </c>
      <c r="E58" s="31" t="s">
        <v>590</v>
      </c>
    </row>
    <row r="59" spans="1:5" x14ac:dyDescent="0.3">
      <c r="A59" s="4" t="s">
        <v>625</v>
      </c>
      <c r="B59" s="68" t="s">
        <v>517</v>
      </c>
      <c r="C59" s="69">
        <v>600</v>
      </c>
      <c r="D59" s="69"/>
      <c r="E59" s="54">
        <f>SUM(C58:D59)</f>
        <v>0</v>
      </c>
    </row>
    <row r="60" spans="1:5" x14ac:dyDescent="0.3">
      <c r="A60" s="4"/>
      <c r="B60" s="61" t="s">
        <v>620</v>
      </c>
      <c r="C60" s="62"/>
      <c r="D60" s="62">
        <v>-600</v>
      </c>
    </row>
    <row r="61" spans="1:5" x14ac:dyDescent="0.3">
      <c r="A61" s="4" t="s">
        <v>626</v>
      </c>
      <c r="B61" s="61" t="s">
        <v>404</v>
      </c>
      <c r="C61" s="62">
        <v>500</v>
      </c>
      <c r="D61" s="62"/>
      <c r="E61" s="28" t="s">
        <v>179</v>
      </c>
    </row>
    <row r="62" spans="1:5" x14ac:dyDescent="0.3">
      <c r="A62" s="4" t="s">
        <v>627</v>
      </c>
      <c r="B62" s="66" t="s">
        <v>517</v>
      </c>
      <c r="C62" s="67">
        <v>700</v>
      </c>
      <c r="D62" s="67"/>
      <c r="E62" s="54">
        <f>SUM(C60:D62)</f>
        <v>600</v>
      </c>
    </row>
    <row r="63" spans="1:5" x14ac:dyDescent="0.3">
      <c r="A63" s="4"/>
      <c r="B63" s="61" t="s">
        <v>620</v>
      </c>
      <c r="C63" s="62"/>
      <c r="D63" s="62">
        <v>-600</v>
      </c>
      <c r="E63" s="28" t="s">
        <v>179</v>
      </c>
    </row>
    <row r="64" spans="1:5" x14ac:dyDescent="0.3">
      <c r="A64" s="4" t="s">
        <v>628</v>
      </c>
      <c r="B64" s="66" t="s">
        <v>517</v>
      </c>
      <c r="C64" s="67">
        <v>1100</v>
      </c>
      <c r="D64" s="67"/>
      <c r="E64" s="54">
        <f>SUM(C63:D64)</f>
        <v>500</v>
      </c>
    </row>
    <row r="65" spans="1:5" x14ac:dyDescent="0.3">
      <c r="A65" s="4"/>
      <c r="B65" s="61" t="s">
        <v>620</v>
      </c>
      <c r="C65" s="62"/>
      <c r="D65" s="62">
        <v>-600</v>
      </c>
    </row>
    <row r="66" spans="1:5" x14ac:dyDescent="0.3">
      <c r="A66" s="4" t="s">
        <v>629</v>
      </c>
      <c r="B66" s="61" t="s">
        <v>630</v>
      </c>
      <c r="C66" s="62"/>
      <c r="D66" s="62">
        <v>-5000</v>
      </c>
      <c r="E66" s="30" t="s">
        <v>309</v>
      </c>
    </row>
    <row r="67" spans="1:5" x14ac:dyDescent="0.3">
      <c r="A67" s="4" t="s">
        <v>631</v>
      </c>
      <c r="B67" s="66" t="s">
        <v>517</v>
      </c>
      <c r="C67" s="67">
        <v>3300</v>
      </c>
      <c r="D67" s="67"/>
      <c r="E67" s="54">
        <f>SUM(C65:D67)</f>
        <v>-2300</v>
      </c>
    </row>
    <row r="68" spans="1:5" x14ac:dyDescent="0.3">
      <c r="A68" s="4"/>
      <c r="B68" s="61" t="s">
        <v>620</v>
      </c>
      <c r="C68" s="62"/>
      <c r="D68" s="62">
        <v>-600</v>
      </c>
    </row>
    <row r="69" spans="1:5" x14ac:dyDescent="0.3">
      <c r="A69" s="4" t="s">
        <v>632</v>
      </c>
      <c r="B69" s="61" t="s">
        <v>633</v>
      </c>
      <c r="C69" s="62">
        <v>3000</v>
      </c>
      <c r="D69" s="62"/>
      <c r="E69" s="28" t="s">
        <v>179</v>
      </c>
    </row>
    <row r="70" spans="1:5" x14ac:dyDescent="0.3">
      <c r="A70" s="4" t="s">
        <v>634</v>
      </c>
      <c r="B70" s="66" t="s">
        <v>517</v>
      </c>
      <c r="C70" s="67">
        <v>400</v>
      </c>
      <c r="D70" s="67"/>
      <c r="E70" s="54">
        <f>SUM(C68:D70)</f>
        <v>2800</v>
      </c>
    </row>
    <row r="71" spans="1:5" x14ac:dyDescent="0.3">
      <c r="A71" s="6"/>
      <c r="B71" s="66" t="s">
        <v>620</v>
      </c>
      <c r="C71" s="67"/>
      <c r="D71" s="67">
        <v>-600</v>
      </c>
    </row>
    <row r="72" spans="1:5" x14ac:dyDescent="0.3">
      <c r="A72" s="4" t="s">
        <v>635</v>
      </c>
      <c r="B72" s="61" t="s">
        <v>404</v>
      </c>
      <c r="C72" s="62">
        <v>1000</v>
      </c>
      <c r="D72" s="62"/>
      <c r="E72" s="28" t="s">
        <v>179</v>
      </c>
    </row>
    <row r="73" spans="1:5" x14ac:dyDescent="0.3">
      <c r="A73" s="4" t="s">
        <v>636</v>
      </c>
      <c r="B73" s="66" t="s">
        <v>517</v>
      </c>
      <c r="C73" s="67">
        <v>700</v>
      </c>
      <c r="D73" s="67"/>
      <c r="E73" s="54">
        <f>SUM(C71:D73)</f>
        <v>1100</v>
      </c>
    </row>
    <row r="74" spans="1:5" x14ac:dyDescent="0.3">
      <c r="A74" s="4"/>
      <c r="B74" s="61" t="s">
        <v>620</v>
      </c>
      <c r="C74" s="62"/>
      <c r="D74" s="62">
        <v>-600</v>
      </c>
      <c r="E74" s="30" t="s">
        <v>309</v>
      </c>
    </row>
    <row r="75" spans="1:5" x14ac:dyDescent="0.3">
      <c r="A75" s="4" t="s">
        <v>637</v>
      </c>
      <c r="B75" s="66" t="s">
        <v>517</v>
      </c>
      <c r="C75" s="67">
        <v>500</v>
      </c>
      <c r="D75" s="67"/>
      <c r="E75" s="54">
        <f>SUM(C74:D75)</f>
        <v>-100</v>
      </c>
    </row>
    <row r="76" spans="1:5" x14ac:dyDescent="0.3">
      <c r="A76" s="4"/>
      <c r="B76" s="61" t="s">
        <v>620</v>
      </c>
      <c r="C76" s="62"/>
      <c r="D76" s="62">
        <v>-600</v>
      </c>
    </row>
    <row r="77" spans="1:5" x14ac:dyDescent="0.3">
      <c r="A77" s="4" t="s">
        <v>638</v>
      </c>
      <c r="B77" s="61" t="s">
        <v>109</v>
      </c>
      <c r="C77" s="62"/>
      <c r="D77" s="62">
        <v>-500</v>
      </c>
      <c r="E77" s="30" t="s">
        <v>309</v>
      </c>
    </row>
    <row r="78" spans="1:5" x14ac:dyDescent="0.3">
      <c r="A78" s="4" t="s">
        <v>639</v>
      </c>
      <c r="B78" s="66" t="s">
        <v>517</v>
      </c>
      <c r="C78" s="67">
        <v>0</v>
      </c>
      <c r="D78" s="67"/>
      <c r="E78" s="54">
        <f>SUM(C76:D78)</f>
        <v>-1100</v>
      </c>
    </row>
    <row r="79" spans="1:5" x14ac:dyDescent="0.3">
      <c r="A79" s="4"/>
      <c r="B79" s="61" t="s">
        <v>620</v>
      </c>
      <c r="C79" s="62"/>
      <c r="D79" s="62">
        <v>-600</v>
      </c>
      <c r="E79" s="28" t="s">
        <v>179</v>
      </c>
    </row>
    <row r="80" spans="1:5" x14ac:dyDescent="0.3">
      <c r="A80" s="4" t="s">
        <v>640</v>
      </c>
      <c r="B80" s="66" t="s">
        <v>517</v>
      </c>
      <c r="C80" s="67">
        <v>1200</v>
      </c>
      <c r="D80" s="67"/>
      <c r="E80" s="54">
        <f>SUM(C79:D80)</f>
        <v>600</v>
      </c>
    </row>
    <row r="81" spans="1:5" x14ac:dyDescent="0.3">
      <c r="A81" s="4"/>
      <c r="B81" s="61" t="s">
        <v>620</v>
      </c>
      <c r="C81" s="62"/>
      <c r="D81" s="62">
        <v>-700</v>
      </c>
    </row>
    <row r="82" spans="1:5" x14ac:dyDescent="0.3">
      <c r="A82" s="6" t="s">
        <v>641</v>
      </c>
      <c r="B82" s="66" t="s">
        <v>523</v>
      </c>
      <c r="C82" s="67"/>
      <c r="D82" s="67">
        <v>-2100</v>
      </c>
      <c r="E82" s="30" t="s">
        <v>309</v>
      </c>
    </row>
    <row r="83" spans="1:5" x14ac:dyDescent="0.3">
      <c r="A83" s="4" t="s">
        <v>642</v>
      </c>
      <c r="B83" s="68" t="s">
        <v>517</v>
      </c>
      <c r="C83" s="69">
        <v>2200</v>
      </c>
      <c r="D83" s="69"/>
      <c r="E83" s="54">
        <f>SUM(C81:D83)</f>
        <v>-600</v>
      </c>
    </row>
    <row r="84" spans="1:5" x14ac:dyDescent="0.3">
      <c r="A84" s="4"/>
      <c r="B84" s="61" t="s">
        <v>620</v>
      </c>
      <c r="C84" s="62"/>
      <c r="D84" s="62">
        <v>-700</v>
      </c>
    </row>
    <row r="85" spans="1:5" x14ac:dyDescent="0.3">
      <c r="A85" s="4" t="s">
        <v>643</v>
      </c>
      <c r="B85" s="61" t="s">
        <v>644</v>
      </c>
      <c r="C85" s="62"/>
      <c r="D85" s="62">
        <v>-500</v>
      </c>
    </row>
    <row r="86" spans="1:5" x14ac:dyDescent="0.3">
      <c r="A86" s="4" t="s">
        <v>645</v>
      </c>
      <c r="B86" s="61" t="s">
        <v>646</v>
      </c>
      <c r="C86" s="62"/>
      <c r="D86" s="62">
        <v>-6000</v>
      </c>
      <c r="E86" s="30" t="s">
        <v>309</v>
      </c>
    </row>
    <row r="87" spans="1:5" x14ac:dyDescent="0.3">
      <c r="A87" s="4" t="s">
        <v>647</v>
      </c>
      <c r="B87" s="66" t="s">
        <v>517</v>
      </c>
      <c r="C87" s="67">
        <v>4100</v>
      </c>
      <c r="D87" s="67"/>
      <c r="E87" s="54">
        <f>SUM(C84:D87)</f>
        <v>-3100</v>
      </c>
    </row>
    <row r="88" spans="1:5" x14ac:dyDescent="0.3">
      <c r="A88" s="4"/>
      <c r="B88" s="61" t="s">
        <v>620</v>
      </c>
      <c r="C88" s="62"/>
      <c r="D88" s="62">
        <v>-600</v>
      </c>
      <c r="E88" s="31" t="s">
        <v>590</v>
      </c>
    </row>
    <row r="89" spans="1:5" x14ac:dyDescent="0.3">
      <c r="A89" s="4" t="s">
        <v>648</v>
      </c>
      <c r="B89" s="66" t="s">
        <v>517</v>
      </c>
      <c r="C89" s="67">
        <v>600</v>
      </c>
      <c r="D89" s="67"/>
      <c r="E89" s="54">
        <f>SUM(C88:D89)</f>
        <v>0</v>
      </c>
    </row>
    <row r="90" spans="1:5" x14ac:dyDescent="0.3">
      <c r="A90" s="4"/>
      <c r="B90" s="61" t="s">
        <v>620</v>
      </c>
      <c r="C90" s="62"/>
      <c r="D90" s="62">
        <v>-600</v>
      </c>
    </row>
    <row r="91" spans="1:5" x14ac:dyDescent="0.3">
      <c r="A91" s="4" t="s">
        <v>649</v>
      </c>
      <c r="B91" s="61" t="s">
        <v>650</v>
      </c>
      <c r="C91" s="62"/>
      <c r="D91" s="62">
        <v>-1000</v>
      </c>
    </row>
    <row r="92" spans="1:5" x14ac:dyDescent="0.3">
      <c r="A92" s="4" t="s">
        <v>651</v>
      </c>
      <c r="B92" s="61" t="s">
        <v>236</v>
      </c>
      <c r="C92" s="62"/>
      <c r="D92" s="62">
        <v>-2000</v>
      </c>
      <c r="E92" s="30" t="s">
        <v>309</v>
      </c>
    </row>
    <row r="93" spans="1:5" x14ac:dyDescent="0.3">
      <c r="A93" s="4" t="s">
        <v>652</v>
      </c>
      <c r="B93" s="66" t="s">
        <v>517</v>
      </c>
      <c r="C93" s="67">
        <v>1100</v>
      </c>
      <c r="D93" s="67"/>
      <c r="E93" s="54">
        <f>SUM(C90:D93)</f>
        <v>-2500</v>
      </c>
    </row>
    <row r="94" spans="1:5" x14ac:dyDescent="0.3">
      <c r="A94" s="4"/>
      <c r="B94" s="61" t="s">
        <v>653</v>
      </c>
      <c r="C94" s="62"/>
      <c r="D94" s="62">
        <v>-100</v>
      </c>
      <c r="E94" s="28" t="s">
        <v>179</v>
      </c>
    </row>
    <row r="95" spans="1:5" x14ac:dyDescent="0.3">
      <c r="A95" s="4" t="s">
        <v>654</v>
      </c>
      <c r="B95" s="66" t="s">
        <v>517</v>
      </c>
      <c r="C95" s="67">
        <v>300</v>
      </c>
      <c r="D95" s="67"/>
      <c r="E95" s="54">
        <f>SUM(C94:D95)</f>
        <v>200</v>
      </c>
    </row>
    <row r="96" spans="1:5" x14ac:dyDescent="0.3">
      <c r="A96" s="6"/>
      <c r="B96" s="66" t="s">
        <v>655</v>
      </c>
      <c r="C96" s="67"/>
      <c r="D96" s="67">
        <v>-800</v>
      </c>
    </row>
    <row r="97" spans="1:5" x14ac:dyDescent="0.3">
      <c r="A97" s="4" t="s">
        <v>656</v>
      </c>
      <c r="B97" s="61" t="s">
        <v>657</v>
      </c>
      <c r="C97" s="62"/>
      <c r="D97" s="62">
        <v>-500</v>
      </c>
    </row>
    <row r="98" spans="1:5" x14ac:dyDescent="0.3">
      <c r="A98" s="4" t="s">
        <v>658</v>
      </c>
      <c r="B98" s="61" t="s">
        <v>109</v>
      </c>
      <c r="C98" s="62"/>
      <c r="D98" s="62">
        <v>-1000</v>
      </c>
      <c r="E98" s="28" t="s">
        <v>179</v>
      </c>
    </row>
    <row r="99" spans="1:5" x14ac:dyDescent="0.3">
      <c r="A99" s="4" t="s">
        <v>659</v>
      </c>
      <c r="B99" s="66" t="s">
        <v>517</v>
      </c>
      <c r="C99" s="67">
        <v>3200</v>
      </c>
      <c r="D99" s="67"/>
      <c r="E99" s="54">
        <f>SUM(C96:D99)</f>
        <v>900</v>
      </c>
    </row>
    <row r="100" spans="1:5" x14ac:dyDescent="0.3">
      <c r="A100" s="4"/>
      <c r="B100" s="61" t="s">
        <v>655</v>
      </c>
      <c r="C100" s="62"/>
      <c r="D100" s="62">
        <v>-1000</v>
      </c>
    </row>
    <row r="101" spans="1:5" x14ac:dyDescent="0.3">
      <c r="A101" s="4" t="s">
        <v>660</v>
      </c>
      <c r="B101" s="61" t="s">
        <v>523</v>
      </c>
      <c r="C101" s="62"/>
      <c r="D101" s="62">
        <v>-1000</v>
      </c>
      <c r="E101" s="30" t="s">
        <v>309</v>
      </c>
    </row>
    <row r="102" spans="1:5" x14ac:dyDescent="0.3">
      <c r="A102" s="4" t="s">
        <v>661</v>
      </c>
      <c r="B102" s="66" t="s">
        <v>517</v>
      </c>
      <c r="C102" s="67">
        <v>1500</v>
      </c>
      <c r="D102" s="67"/>
      <c r="E102" s="54">
        <f>SUM(C100:D102)</f>
        <v>-500</v>
      </c>
    </row>
    <row r="103" spans="1:5" x14ac:dyDescent="0.3">
      <c r="A103" s="4"/>
      <c r="B103" s="61" t="s">
        <v>655</v>
      </c>
      <c r="C103" s="62"/>
      <c r="D103" s="62">
        <v>-1000</v>
      </c>
    </row>
    <row r="104" spans="1:5" x14ac:dyDescent="0.3">
      <c r="A104" s="4" t="s">
        <v>662</v>
      </c>
      <c r="B104" s="61" t="s">
        <v>404</v>
      </c>
      <c r="C104" s="62">
        <v>1000</v>
      </c>
      <c r="D104" s="62"/>
      <c r="E104" s="28" t="s">
        <v>179</v>
      </c>
    </row>
    <row r="105" spans="1:5" x14ac:dyDescent="0.3">
      <c r="A105" s="4" t="s">
        <v>663</v>
      </c>
      <c r="B105" s="66" t="s">
        <v>517</v>
      </c>
      <c r="C105" s="67">
        <v>900</v>
      </c>
      <c r="D105" s="67"/>
      <c r="E105" s="54">
        <f>SUM(C103:D105)</f>
        <v>900</v>
      </c>
    </row>
    <row r="106" spans="1:5" x14ac:dyDescent="0.3">
      <c r="A106" s="4"/>
      <c r="B106" s="61" t="s">
        <v>655</v>
      </c>
      <c r="C106" s="62"/>
      <c r="D106" s="62">
        <v>-900</v>
      </c>
      <c r="E106" s="30" t="s">
        <v>309</v>
      </c>
    </row>
    <row r="107" spans="1:5" x14ac:dyDescent="0.3">
      <c r="A107" s="4" t="s">
        <v>664</v>
      </c>
      <c r="B107" s="66" t="s">
        <v>122</v>
      </c>
      <c r="C107" s="67">
        <v>600</v>
      </c>
      <c r="D107" s="67"/>
      <c r="E107" s="54">
        <f>SUM(C106:D107)</f>
        <v>-300</v>
      </c>
    </row>
    <row r="108" spans="1:5" x14ac:dyDescent="0.3">
      <c r="A108" s="4" t="s">
        <v>665</v>
      </c>
      <c r="B108" s="61" t="s">
        <v>655</v>
      </c>
      <c r="C108" s="62"/>
      <c r="D108" s="62" t="s">
        <v>666</v>
      </c>
    </row>
    <row r="109" spans="1:5" x14ac:dyDescent="0.3">
      <c r="A109" s="4"/>
      <c r="B109" s="61"/>
      <c r="C109" s="62"/>
      <c r="D109" s="62"/>
    </row>
    <row r="110" spans="1:5" x14ac:dyDescent="0.3">
      <c r="A110" s="4"/>
      <c r="B110" s="61"/>
      <c r="C110" s="62"/>
      <c r="D110" s="62"/>
    </row>
    <row r="111" spans="1:5" x14ac:dyDescent="0.3">
      <c r="A111" s="4"/>
      <c r="B111" s="61"/>
      <c r="C111" s="62"/>
      <c r="D111" s="62"/>
    </row>
    <row r="112" spans="1:5" x14ac:dyDescent="0.3">
      <c r="A112" s="4"/>
      <c r="B112" s="61"/>
      <c r="C112" s="62"/>
      <c r="D112" s="62"/>
    </row>
    <row r="113" spans="1:4" x14ac:dyDescent="0.3">
      <c r="A113" s="4"/>
      <c r="B113" s="61"/>
      <c r="C113" s="62"/>
      <c r="D113" s="62"/>
    </row>
    <row r="114" spans="1:4" x14ac:dyDescent="0.3">
      <c r="A114" s="4"/>
      <c r="B114" s="61"/>
      <c r="C114" s="62"/>
      <c r="D114" s="62"/>
    </row>
    <row r="115" spans="1:4" x14ac:dyDescent="0.3">
      <c r="A115" s="4"/>
      <c r="B115" s="61"/>
      <c r="C115" s="62"/>
      <c r="D115" s="62"/>
    </row>
    <row r="116" spans="1:4" x14ac:dyDescent="0.3">
      <c r="A116" s="4"/>
      <c r="B116" s="61"/>
      <c r="C116" s="62"/>
      <c r="D116" s="62"/>
    </row>
    <row r="117" spans="1:4" x14ac:dyDescent="0.3">
      <c r="A117" s="4"/>
      <c r="B117" s="61"/>
      <c r="C117" s="62"/>
      <c r="D117" s="62"/>
    </row>
    <row r="118" spans="1:4" x14ac:dyDescent="0.3">
      <c r="A118" s="4"/>
      <c r="B118" s="61"/>
      <c r="C118" s="62"/>
      <c r="D118" s="62"/>
    </row>
    <row r="119" spans="1:4" x14ac:dyDescent="0.3">
      <c r="A119" s="4"/>
      <c r="B119" s="61"/>
      <c r="C119" s="62"/>
      <c r="D119" s="62"/>
    </row>
    <row r="120" spans="1:4" x14ac:dyDescent="0.3">
      <c r="A120" s="4"/>
      <c r="B120" s="61"/>
      <c r="C120" s="62"/>
      <c r="D120" s="62"/>
    </row>
    <row r="121" spans="1:4" x14ac:dyDescent="0.3">
      <c r="A121" s="4"/>
      <c r="B121" s="61"/>
      <c r="C121" s="62"/>
      <c r="D121" s="62"/>
    </row>
    <row r="122" spans="1:4" x14ac:dyDescent="0.3">
      <c r="A122" s="4"/>
      <c r="B122" s="61"/>
      <c r="C122" s="62"/>
      <c r="D122" s="62"/>
    </row>
    <row r="123" spans="1:4" x14ac:dyDescent="0.3">
      <c r="A123" s="4"/>
      <c r="B123" s="61"/>
      <c r="C123" s="62"/>
      <c r="D123" s="62"/>
    </row>
    <row r="124" spans="1:4" x14ac:dyDescent="0.3">
      <c r="A124" s="4"/>
      <c r="B124" s="61"/>
      <c r="C124" s="62"/>
      <c r="D124" s="62"/>
    </row>
    <row r="125" spans="1:4" x14ac:dyDescent="0.3">
      <c r="A125" s="4"/>
      <c r="B125" s="61"/>
      <c r="C125" s="62"/>
      <c r="D125" s="62"/>
    </row>
    <row r="126" spans="1:4" x14ac:dyDescent="0.3">
      <c r="A126" s="4"/>
      <c r="B126" s="61"/>
      <c r="C126" s="62"/>
      <c r="D126" s="62"/>
    </row>
    <row r="127" spans="1:4" x14ac:dyDescent="0.3">
      <c r="A127" s="4"/>
      <c r="B127" s="61"/>
      <c r="C127" s="62"/>
      <c r="D127" s="62"/>
    </row>
    <row r="128" spans="1:4" x14ac:dyDescent="0.3">
      <c r="A128" s="4"/>
      <c r="B128" s="61"/>
      <c r="C128" s="62"/>
      <c r="D128" s="62"/>
    </row>
    <row r="129" spans="1:4" x14ac:dyDescent="0.3">
      <c r="A129" s="4"/>
      <c r="B129" s="61"/>
      <c r="C129" s="62"/>
      <c r="D129" s="62"/>
    </row>
    <row r="130" spans="1:4" x14ac:dyDescent="0.3">
      <c r="A130" s="4"/>
      <c r="B130" s="61"/>
      <c r="C130" s="62"/>
      <c r="D130" s="62"/>
    </row>
    <row r="131" spans="1:4" x14ac:dyDescent="0.3">
      <c r="A131" s="4"/>
      <c r="B131" s="61"/>
      <c r="C131" s="62"/>
      <c r="D131" s="62"/>
    </row>
    <row r="132" spans="1:4" x14ac:dyDescent="0.3">
      <c r="A132" s="4"/>
      <c r="B132" s="61"/>
      <c r="C132" s="62"/>
      <c r="D132" s="62"/>
    </row>
    <row r="133" spans="1:4" x14ac:dyDescent="0.3">
      <c r="A133" s="4"/>
      <c r="B133" s="61"/>
      <c r="C133" s="62"/>
      <c r="D133" s="62"/>
    </row>
    <row r="134" spans="1:4" x14ac:dyDescent="0.3">
      <c r="A134" s="4"/>
      <c r="B134" s="61"/>
      <c r="C134" s="62"/>
      <c r="D134" s="62"/>
    </row>
    <row r="135" spans="1:4" x14ac:dyDescent="0.3">
      <c r="A135" s="4"/>
      <c r="B135" s="61"/>
      <c r="C135" s="62"/>
      <c r="D135" s="62"/>
    </row>
    <row r="136" spans="1:4" x14ac:dyDescent="0.3">
      <c r="A136" s="4"/>
      <c r="B136" s="61"/>
      <c r="C136" s="62"/>
      <c r="D136" s="62"/>
    </row>
    <row r="137" spans="1:4" x14ac:dyDescent="0.3">
      <c r="A137" s="4"/>
      <c r="B137" s="61"/>
      <c r="C137" s="62"/>
      <c r="D137" s="62"/>
    </row>
    <row r="138" spans="1:4" x14ac:dyDescent="0.3">
      <c r="A138" s="4"/>
      <c r="B138" s="61"/>
      <c r="C138" s="62"/>
      <c r="D138" s="62"/>
    </row>
    <row r="139" spans="1:4" x14ac:dyDescent="0.3">
      <c r="A139" s="4"/>
      <c r="B139" s="61"/>
      <c r="C139" s="62"/>
      <c r="D139" s="62"/>
    </row>
    <row r="140" spans="1:4" x14ac:dyDescent="0.3">
      <c r="A140" s="4"/>
      <c r="B140" s="61"/>
      <c r="C140" s="62"/>
      <c r="D140" s="62"/>
    </row>
    <row r="141" spans="1:4" x14ac:dyDescent="0.3">
      <c r="A141" s="4"/>
      <c r="B141" s="61"/>
      <c r="C141" s="62"/>
      <c r="D141" s="62"/>
    </row>
    <row r="142" spans="1:4" x14ac:dyDescent="0.3">
      <c r="A142" s="4"/>
      <c r="B142" s="61"/>
      <c r="C142" s="62"/>
      <c r="D142" s="62"/>
    </row>
    <row r="143" spans="1:4" x14ac:dyDescent="0.3">
      <c r="A143" s="4"/>
      <c r="B143" s="61"/>
      <c r="C143" s="62"/>
      <c r="D143" s="62"/>
    </row>
    <row r="144" spans="1:4" x14ac:dyDescent="0.3">
      <c r="A144" s="4"/>
      <c r="B144" s="61"/>
      <c r="C144" s="62"/>
      <c r="D144" s="62"/>
    </row>
    <row r="145" spans="1:4" x14ac:dyDescent="0.3">
      <c r="A145" s="4"/>
      <c r="B145" s="61"/>
      <c r="C145" s="62"/>
      <c r="D145" s="62"/>
    </row>
    <row r="146" spans="1:4" x14ac:dyDescent="0.3">
      <c r="A146" s="4"/>
      <c r="B146" s="61"/>
      <c r="C146" s="62"/>
      <c r="D146" s="62"/>
    </row>
    <row r="147" spans="1:4" x14ac:dyDescent="0.3">
      <c r="A147" s="4"/>
      <c r="B147" s="61"/>
      <c r="C147" s="62"/>
      <c r="D147" s="62"/>
    </row>
    <row r="148" spans="1:4" x14ac:dyDescent="0.3">
      <c r="A148" s="4"/>
      <c r="B148" s="61"/>
      <c r="C148" s="62"/>
      <c r="D148" s="62"/>
    </row>
    <row r="149" spans="1:4" x14ac:dyDescent="0.3">
      <c r="A149" s="4"/>
      <c r="B149" s="61"/>
      <c r="C149" s="62"/>
      <c r="D149" s="62"/>
    </row>
    <row r="150" spans="1:4" x14ac:dyDescent="0.3">
      <c r="A150" s="4"/>
      <c r="B150" s="61"/>
      <c r="C150" s="62"/>
      <c r="D150" s="6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HP;Manuga Perera</dc:creator>
  <cp:lastModifiedBy>Manuga Perera</cp:lastModifiedBy>
  <dcterms:created xsi:type="dcterms:W3CDTF">2023-12-04T16:10:22Z</dcterms:created>
  <dcterms:modified xsi:type="dcterms:W3CDTF">2026-10-22T08:31:11Z</dcterms:modified>
</cp:coreProperties>
</file>